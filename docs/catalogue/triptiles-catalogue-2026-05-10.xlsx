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hrisrobertson/Library/CloudStorage/Dropbox/TripTiles/"/>
    </mc:Choice>
  </mc:AlternateContent>
  <xr:revisionPtr revIDLastSave="0" documentId="8_{5198A3A6-FDE4-EC40-A219-5CF61399C082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Overview" sheetId="1" r:id="rId1"/>
    <sheet name="Regions" sheetId="2" r:id="rId2"/>
    <sheet name="Parks" sheetId="3" r:id="rId3"/>
    <sheet name="Attractions" sheetId="4" r:id="rId4"/>
    <sheet name="Skip-Line Map" sheetId="5" r:id="rId5"/>
    <sheet name="Gap Analysis" sheetId="6" r:id="rId6"/>
  </sheets>
  <definedNames>
    <definedName name="_xlnm._FilterDatabase" localSheetId="3" hidden="1">Attractions!$A$1:$T$101</definedName>
    <definedName name="_xlnm._FilterDatabase" localSheetId="2" hidden="1">Parks!$A$1:$Q$352</definedName>
    <definedName name="_xlnm._FilterDatabase" localSheetId="1" hidden="1">Regions!$A$1:$U$44</definedName>
    <definedName name="_xlnm._FilterDatabase" localSheetId="4" hidden="1">'Skip-Line Map'!$A$1:$B$47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6" l="1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1" i="6"/>
  <c r="C11" i="6" s="1"/>
  <c r="B10" i="6"/>
  <c r="C10" i="6" s="1"/>
  <c r="B9" i="6"/>
  <c r="C9" i="6" s="1"/>
  <c r="B8" i="6"/>
  <c r="C8" i="6" s="1"/>
  <c r="B7" i="6"/>
  <c r="C7" i="6" s="1"/>
  <c r="B6" i="6"/>
  <c r="C6" i="6" s="1"/>
  <c r="K44" i="2"/>
  <c r="J44" i="2"/>
  <c r="I44" i="2"/>
  <c r="H44" i="2"/>
  <c r="K43" i="2"/>
  <c r="J43" i="2"/>
  <c r="I43" i="2"/>
  <c r="H43" i="2"/>
  <c r="K42" i="2"/>
  <c r="J42" i="2"/>
  <c r="I42" i="2"/>
  <c r="H42" i="2"/>
  <c r="K41" i="2"/>
  <c r="J41" i="2"/>
  <c r="I41" i="2"/>
  <c r="H41" i="2"/>
  <c r="K40" i="2"/>
  <c r="J40" i="2"/>
  <c r="I40" i="2"/>
  <c r="H40" i="2"/>
  <c r="K39" i="2"/>
  <c r="J39" i="2"/>
  <c r="I39" i="2"/>
  <c r="H39" i="2"/>
  <c r="K38" i="2"/>
  <c r="J38" i="2"/>
  <c r="I38" i="2"/>
  <c r="H38" i="2"/>
  <c r="K37" i="2"/>
  <c r="J37" i="2"/>
  <c r="I37" i="2"/>
  <c r="H37" i="2"/>
  <c r="K36" i="2"/>
  <c r="J36" i="2"/>
  <c r="I36" i="2"/>
  <c r="H36" i="2"/>
  <c r="K35" i="2"/>
  <c r="J35" i="2"/>
  <c r="I35" i="2"/>
  <c r="H35" i="2"/>
  <c r="K34" i="2"/>
  <c r="J34" i="2"/>
  <c r="I34" i="2"/>
  <c r="H34" i="2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K20" i="2"/>
  <c r="J20" i="2"/>
  <c r="I20" i="2"/>
  <c r="H20" i="2"/>
  <c r="K19" i="2"/>
  <c r="J19" i="2"/>
  <c r="I19" i="2"/>
  <c r="H19" i="2"/>
  <c r="K18" i="2"/>
  <c r="J18" i="2"/>
  <c r="I18" i="2"/>
  <c r="H18" i="2"/>
  <c r="K17" i="2"/>
  <c r="J17" i="2"/>
  <c r="I17" i="2"/>
  <c r="H17" i="2"/>
  <c r="K16" i="2"/>
  <c r="J16" i="2"/>
  <c r="I16" i="2"/>
  <c r="H16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H4" i="2"/>
  <c r="K3" i="2"/>
  <c r="J3" i="2"/>
  <c r="I3" i="2"/>
  <c r="H3" i="2"/>
  <c r="K2" i="2"/>
  <c r="J2" i="2"/>
  <c r="I2" i="2"/>
  <c r="H2" i="2"/>
  <c r="C24" i="1"/>
  <c r="B24" i="1"/>
  <c r="C23" i="1"/>
  <c r="B23" i="1"/>
  <c r="C22" i="1"/>
  <c r="B22" i="1"/>
  <c r="C21" i="1"/>
  <c r="B21" i="1"/>
  <c r="C20" i="1"/>
  <c r="B20" i="1"/>
  <c r="B15" i="1"/>
  <c r="C14" i="1"/>
  <c r="B14" i="1"/>
  <c r="C13" i="1"/>
  <c r="B13" i="1"/>
  <c r="B8" i="1"/>
  <c r="B7" i="1"/>
  <c r="B6" i="1"/>
  <c r="B5" i="1"/>
</calcChain>
</file>

<file path=xl/sharedStrings.xml><?xml version="1.0" encoding="utf-8"?>
<sst xmlns="http://schemas.openxmlformats.org/spreadsheetml/2006/main" count="4117" uniqueCount="1291">
  <si>
    <t>TripTiles Catalogue Snapshot</t>
  </si>
  <si>
    <t>10 May 2026  ·  Supabase project hjbbojypllltfjfuojzn  ·  read-only audit</t>
  </si>
  <si>
    <t>Catalogue totals</t>
  </si>
  <si>
    <t>Regions</t>
  </si>
  <si>
    <t>Parks</t>
  </si>
  <si>
    <t>Attractions</t>
  </si>
  <si>
    <t>Skip-line mappings</t>
  </si>
  <si>
    <t>Regions by data quality tier</t>
  </si>
  <si>
    <t>Tier</t>
  </si>
  <si>
    <t>Count</t>
  </si>
  <si>
    <t>Of which overstated</t>
  </si>
  <si>
    <t>Deep</t>
  </si>
  <si>
    <t>Standard</t>
  </si>
  <si>
    <t>Light</t>
  </si>
  <si>
    <t>Universal park-level data status</t>
  </si>
  <si>
    <t>Field</t>
  </si>
  <si>
    <t>Parks populated</t>
  </si>
  <si>
    <t>Of total</t>
  </si>
  <si>
    <t>Latitude/longitude</t>
  </si>
  <si>
    <t>Official URL</t>
  </si>
  <si>
    <t>Hours known</t>
  </si>
  <si>
    <t>Country</t>
  </si>
  <si>
    <t>Icon</t>
  </si>
  <si>
    <t>Gap flag legend</t>
  </si>
  <si>
    <t>Entity</t>
  </si>
  <si>
    <t>Flag</t>
  </si>
  <si>
    <t>Meaning</t>
  </si>
  <si>
    <t>Fix</t>
  </si>
  <si>
    <t>Region</t>
  </si>
  <si>
    <t>description_too_short</t>
  </si>
  <si>
    <t>description_chars &lt; 20</t>
  </si>
  <si>
    <t>Write a 1–2 sentence region intro</t>
  </si>
  <si>
    <t>no_skip_line_systems</t>
  </si>
  <si>
    <t>No row in region_skip_line_systems (not even 'none')</t>
  </si>
  <si>
    <t>Add a row to the join table</t>
  </si>
  <si>
    <t>tier_overstated_no_attractions</t>
  </si>
  <si>
    <t>Tier is 'standard' or 'deep' but attractions_count = 0</t>
  </si>
  <si>
    <t>Retag to 'light' (1-min UPDATE) or fill with attractions</t>
  </si>
  <si>
    <t>no_parks_with_hours</t>
  </si>
  <si>
    <t>Every park has hours_known = false</t>
  </si>
  <si>
    <t>Source park hours, set on parks</t>
  </si>
  <si>
    <t>no_parks_with_coords</t>
  </si>
  <si>
    <t>Every park has latitude IS NULL</t>
  </si>
  <si>
    <t>Source coords, set on parks</t>
  </si>
  <si>
    <t>no_parks_with_url</t>
  </si>
  <si>
    <t>No park has official_url populated</t>
  </si>
  <si>
    <t>Source official URLs, set on parks</t>
  </si>
  <si>
    <t>Park</t>
  </si>
  <si>
    <t>no_icon</t>
  </si>
  <si>
    <t>icon IS NULL OR ''</t>
  </si>
  <si>
    <t>Add an emoji (cosmetic)</t>
  </si>
  <si>
    <t>no_country</t>
  </si>
  <si>
    <t>country IS NULL OR ''</t>
  </si>
  <si>
    <t>Set country</t>
  </si>
  <si>
    <t>no_coords</t>
  </si>
  <si>
    <t>latitude IS NULL</t>
  </si>
  <si>
    <t>Source lat/lng</t>
  </si>
  <si>
    <t>no_official_url</t>
  </si>
  <si>
    <t>official_url IS NULL OR ''</t>
  </si>
  <si>
    <t>Source URL</t>
  </si>
  <si>
    <t>no_hours</t>
  </si>
  <si>
    <t>hours_known = false</t>
  </si>
  <si>
    <t>Source opening hours, set hours_known = true</t>
  </si>
  <si>
    <t>theme_park_no_attractions</t>
  </si>
  <si>
    <t>Disney/Universal/SeaWorld park with 0 attractions seeded</t>
  </si>
  <si>
    <t>Seed attractions (largest data investment)</t>
  </si>
  <si>
    <t>Attraction</t>
  </si>
  <si>
    <t>no_duration</t>
  </si>
  <si>
    <t>duration_minutes IS NULL</t>
  </si>
  <si>
    <t>Source from official site or rcdb</t>
  </si>
  <si>
    <t>no_peak_wait</t>
  </si>
  <si>
    <t>avg_wait_peak_minutes IS NULL</t>
  </si>
  <si>
    <t>Source from thrill-data</t>
  </si>
  <si>
    <t>no_offpeak_wait</t>
  </si>
  <si>
    <t>avg_wait_offpeak_minutes IS NULL</t>
  </si>
  <si>
    <t>no_skip_line_system</t>
  </si>
  <si>
    <t>skip_line_system IS NULL</t>
  </si>
  <si>
    <t>Set skip_line_system + skip_line_tier</t>
  </si>
  <si>
    <t>no_tags</t>
  </si>
  <si>
    <t>Empty tags array</t>
  </si>
  <si>
    <t>Add tag array</t>
  </si>
  <si>
    <t>id</t>
  </si>
  <si>
    <t>name</t>
  </si>
  <si>
    <t>short_name</t>
  </si>
  <si>
    <t>country</t>
  </si>
  <si>
    <t>country_code</t>
  </si>
  <si>
    <t>continent</t>
  </si>
  <si>
    <t>flag_emoji</t>
  </si>
  <si>
    <t>is_active</t>
  </si>
  <si>
    <t>is_featured</t>
  </si>
  <si>
    <t>has_disney</t>
  </si>
  <si>
    <t>has_universal</t>
  </si>
  <si>
    <t>data_quality_tier</t>
  </si>
  <si>
    <t>sort_order</t>
  </si>
  <si>
    <t>description_chars</t>
  </si>
  <si>
    <t>parks_count</t>
  </si>
  <si>
    <t>parks_with_hours</t>
  </si>
  <si>
    <t>parks_with_coords</t>
  </si>
  <si>
    <t>parks_with_url</t>
  </si>
  <si>
    <t>attractions_count</t>
  </si>
  <si>
    <t>skip_line_systems</t>
  </si>
  <si>
    <t>parity_gaps</t>
  </si>
  <si>
    <t>orlando</t>
  </si>
  <si>
    <t>Orlando, Florida</t>
  </si>
  <si>
    <t>Orlando</t>
  </si>
  <si>
    <t>United States</t>
  </si>
  <si>
    <t>US</t>
  </si>
  <si>
    <t>North America</t>
  </si>
  <si>
    <t>🇺🇸</t>
  </si>
  <si>
    <t>deep</t>
  </si>
  <si>
    <t>no_parks_with_hours|no_parks_with_coords|no_parks_with_url</t>
  </si>
  <si>
    <t>cali</t>
  </si>
  <si>
    <t>Anaheim &amp; California</t>
  </si>
  <si>
    <t>California</t>
  </si>
  <si>
    <t>standard</t>
  </si>
  <si>
    <t>lasvegas</t>
  </si>
  <si>
    <t>Las Vegas</t>
  </si>
  <si>
    <t>light</t>
  </si>
  <si>
    <t>toronto</t>
  </si>
  <si>
    <t>Toronto</t>
  </si>
  <si>
    <t>Canada</t>
  </si>
  <si>
    <t>CA</t>
  </si>
  <si>
    <t>🇨🇦</t>
  </si>
  <si>
    <t>mexico</t>
  </si>
  <si>
    <t>Mexico</t>
  </si>
  <si>
    <t>MX</t>
  </si>
  <si>
    <t>🇲🇽</t>
  </si>
  <si>
    <t>miami</t>
  </si>
  <si>
    <t>Miami &amp; South Florida</t>
  </si>
  <si>
    <t>Miami</t>
  </si>
  <si>
    <t>florida_combo</t>
  </si>
  <si>
    <t>Florida Combo (Orlando + Miami)</t>
  </si>
  <si>
    <t>FL Combo</t>
  </si>
  <si>
    <t>paris</t>
  </si>
  <si>
    <t>Paris</t>
  </si>
  <si>
    <t>France</t>
  </si>
  <si>
    <t>FR</t>
  </si>
  <si>
    <t>Europe</t>
  </si>
  <si>
    <t>🇫🇷</t>
  </si>
  <si>
    <t>uk</t>
  </si>
  <si>
    <t>United Kingdom</t>
  </si>
  <si>
    <t>UK</t>
  </si>
  <si>
    <t>GB</t>
  </si>
  <si>
    <t>🇬🇧</t>
  </si>
  <si>
    <t>germany</t>
  </si>
  <si>
    <t>Germany</t>
  </si>
  <si>
    <t>DE</t>
  </si>
  <si>
    <t>🇩🇪</t>
  </si>
  <si>
    <t>spain</t>
  </si>
  <si>
    <t>Costa Daurada, Spain</t>
  </si>
  <si>
    <t>Spain</t>
  </si>
  <si>
    <t>ES</t>
  </si>
  <si>
    <t>🇪🇸</t>
  </si>
  <si>
    <t>netherlands</t>
  </si>
  <si>
    <t>Netherlands</t>
  </si>
  <si>
    <t>NL</t>
  </si>
  <si>
    <t>🇳🇱</t>
  </si>
  <si>
    <t>denmark</t>
  </si>
  <si>
    <t>Denmark</t>
  </si>
  <si>
    <t>DK</t>
  </si>
  <si>
    <t>🇩🇰</t>
  </si>
  <si>
    <t>italy</t>
  </si>
  <si>
    <t>Italy</t>
  </si>
  <si>
    <t>IT</t>
  </si>
  <si>
    <t>🇮🇹</t>
  </si>
  <si>
    <t>belgium</t>
  </si>
  <si>
    <t>Belgium</t>
  </si>
  <si>
    <t>BE</t>
  </si>
  <si>
    <t>🇧🇪</t>
  </si>
  <si>
    <t>sweden</t>
  </si>
  <si>
    <t>Sweden</t>
  </si>
  <si>
    <t>SE</t>
  </si>
  <si>
    <t>🇸🇪</t>
  </si>
  <si>
    <t>finland</t>
  </si>
  <si>
    <t>Finland</t>
  </si>
  <si>
    <t>FI</t>
  </si>
  <si>
    <t>🇫🇮</t>
  </si>
  <si>
    <t>tokyo</t>
  </si>
  <si>
    <t>Tokyo</t>
  </si>
  <si>
    <t>Japan</t>
  </si>
  <si>
    <t>JP</t>
  </si>
  <si>
    <t>Asia</t>
  </si>
  <si>
    <t>🇯🇵</t>
  </si>
  <si>
    <t>tier_overstated_no_attractions|no_parks_with_hours|no_parks_with_coords|no_parks_with_url</t>
  </si>
  <si>
    <t>osaka</t>
  </si>
  <si>
    <t>Osaka &amp; Kansai</t>
  </si>
  <si>
    <t>Osaka</t>
  </si>
  <si>
    <t>shanghai</t>
  </si>
  <si>
    <t>Shanghai</t>
  </si>
  <si>
    <t>China</t>
  </si>
  <si>
    <t>CN</t>
  </si>
  <si>
    <t>🇨🇳</t>
  </si>
  <si>
    <t>hongkong</t>
  </si>
  <si>
    <t>Hong Kong</t>
  </si>
  <si>
    <t>HK</t>
  </si>
  <si>
    <t>🇭🇰</t>
  </si>
  <si>
    <t>singapore</t>
  </si>
  <si>
    <t>Singapore</t>
  </si>
  <si>
    <t>SG</t>
  </si>
  <si>
    <t>🇸🇬</t>
  </si>
  <si>
    <t>seoul</t>
  </si>
  <si>
    <t>Seoul</t>
  </si>
  <si>
    <t>South Korea</t>
  </si>
  <si>
    <t>KR</t>
  </si>
  <si>
    <t>🇰🇷</t>
  </si>
  <si>
    <t>uae</t>
  </si>
  <si>
    <t>Dubai &amp; Abu Dhabi</t>
  </si>
  <si>
    <t>UAE</t>
  </si>
  <si>
    <t>United Arab Emirates</t>
  </si>
  <si>
    <t>AE</t>
  </si>
  <si>
    <t>Middle East</t>
  </si>
  <si>
    <t>🇦🇪</t>
  </si>
  <si>
    <t>goldcoast</t>
  </si>
  <si>
    <t>Gold Coast, Australia</t>
  </si>
  <si>
    <t>Gold Coast</t>
  </si>
  <si>
    <t>Australia</t>
  </si>
  <si>
    <t>AU</t>
  </si>
  <si>
    <t>Oceania</t>
  </si>
  <si>
    <t>🇦🇺</t>
  </si>
  <si>
    <t>sydney</t>
  </si>
  <si>
    <t>Sydney</t>
  </si>
  <si>
    <t>cruise</t>
  </si>
  <si>
    <t>Cruise Holiday</t>
  </si>
  <si>
    <t>Cruise</t>
  </si>
  <si>
    <t>At Sea</t>
  </si>
  <si>
    <t>XX</t>
  </si>
  <si>
    <t>🚢</t>
  </si>
  <si>
    <t>london</t>
  </si>
  <si>
    <t>London</t>
  </si>
  <si>
    <t>edinburgh</t>
  </si>
  <si>
    <t>Edinburgh &amp; Scotland</t>
  </si>
  <si>
    <t>Edinburgh</t>
  </si>
  <si>
    <t>🏴󠁧󠁢󠁳󠁣󠁴󠁿</t>
  </si>
  <si>
    <t>bath</t>
  </si>
  <si>
    <t>Bath &amp; the Cotswolds</t>
  </si>
  <si>
    <t>Bath</t>
  </si>
  <si>
    <t>liverpool</t>
  </si>
  <si>
    <t>Liverpool</t>
  </si>
  <si>
    <t>york</t>
  </si>
  <si>
    <t>York</t>
  </si>
  <si>
    <t>manchester</t>
  </si>
  <si>
    <t>Manchester</t>
  </si>
  <si>
    <t>cambridge</t>
  </si>
  <si>
    <t>Cambridge &amp; Oxford</t>
  </si>
  <si>
    <t>Cam/Ox</t>
  </si>
  <si>
    <t>lakedist</t>
  </si>
  <si>
    <t>Lake District</t>
  </si>
  <si>
    <t>Lakes</t>
  </si>
  <si>
    <t>cornwall</t>
  </si>
  <si>
    <t>Cornwall</t>
  </si>
  <si>
    <t>highlands</t>
  </si>
  <si>
    <t>Scottish Highlands</t>
  </si>
  <si>
    <t>Highlands</t>
  </si>
  <si>
    <t>cardiff</t>
  </si>
  <si>
    <t>Cardiff &amp; Wales</t>
  </si>
  <si>
    <t>Cardiff</t>
  </si>
  <si>
    <t>🏴󠁧󠁢󠁷󠁬󠁳󠁿</t>
  </si>
  <si>
    <t>belfast</t>
  </si>
  <si>
    <t>Belfast &amp; Northern Ireland</t>
  </si>
  <si>
    <t>Belfast</t>
  </si>
  <si>
    <t>brighton</t>
  </si>
  <si>
    <t>Brighton</t>
  </si>
  <si>
    <t>stratfm</t>
  </si>
  <si>
    <t>Stratford &amp; Warwick</t>
  </si>
  <si>
    <t>Stratford</t>
  </si>
  <si>
    <t>uk_combo</t>
  </si>
  <si>
    <t>UK Multi-City Tour</t>
  </si>
  <si>
    <t>UK Tour</t>
  </si>
  <si>
    <t>custom</t>
  </si>
  <si>
    <t>Other / Multi-Region</t>
  </si>
  <si>
    <t>Custom</t>
  </si>
  <si>
    <t>Worldwide</t>
  </si>
  <si>
    <t>Other</t>
  </si>
  <si>
    <t>🌍</t>
  </si>
  <si>
    <t>icon</t>
  </si>
  <si>
    <t>park_group</t>
  </si>
  <si>
    <t>region_ids</t>
  </si>
  <si>
    <t>latitude</t>
  </si>
  <si>
    <t>longitude</t>
  </si>
  <si>
    <t>official_url</t>
  </si>
  <si>
    <t>opens_at</t>
  </si>
  <si>
    <t>closes_at</t>
  </si>
  <si>
    <t>hours_known</t>
  </si>
  <si>
    <t>affiliate_hotel_query</t>
  </si>
  <si>
    <t>affiliate_ticket_url</t>
  </si>
  <si>
    <t>gaps</t>
  </si>
  <si>
    <t>romanba</t>
  </si>
  <si>
    <t>Roman Baths</t>
  </si>
  <si>
    <t>attractions</t>
  </si>
  <si>
    <t>bath|uk_combo</t>
  </si>
  <si>
    <t>false</t>
  </si>
  <si>
    <t>no_icon|no_country|no_coords|no_official_url|no_hours</t>
  </si>
  <si>
    <t>bathabbey</t>
  </si>
  <si>
    <t>Bath Abbey</t>
  </si>
  <si>
    <t>sights</t>
  </si>
  <si>
    <t>royalcr</t>
  </si>
  <si>
    <t>Royal Crescent</t>
  </si>
  <si>
    <t>jasen</t>
  </si>
  <si>
    <t>Jane Austen Centre</t>
  </si>
  <si>
    <t>thermae</t>
  </si>
  <si>
    <t>Thermae Bath Spa</t>
  </si>
  <si>
    <t>activities</t>
  </si>
  <si>
    <t>cots</t>
  </si>
  <si>
    <t>Cotswolds Villages</t>
  </si>
  <si>
    <t>castlec</t>
  </si>
  <si>
    <t>Castle Combe</t>
  </si>
  <si>
    <t>stoneh</t>
  </si>
  <si>
    <t>Stonehenge</t>
  </si>
  <si>
    <t>titanic</t>
  </si>
  <si>
    <t>Titanic Belfast</t>
  </si>
  <si>
    <t>belfast|uk_combo</t>
  </si>
  <si>
    <t>giants</t>
  </si>
  <si>
    <t>Giant's Causeway</t>
  </si>
  <si>
    <t>gotour</t>
  </si>
  <si>
    <t>Game of Thrones Tour</t>
  </si>
  <si>
    <t>excursions</t>
  </si>
  <si>
    <t>darkhed</t>
  </si>
  <si>
    <t>Dark Hedges</t>
  </si>
  <si>
    <t>belfcity</t>
  </si>
  <si>
    <t>Belfast City Hall</t>
  </si>
  <si>
    <t>walbel</t>
  </si>
  <si>
    <t>Walibi Belgium</t>
  </si>
  <si>
    <t>plops</t>
  </si>
  <si>
    <t>Plopsaland</t>
  </si>
  <si>
    <t>bobbe</t>
  </si>
  <si>
    <t>Bobbejaanland</t>
  </si>
  <si>
    <t>brus</t>
  </si>
  <si>
    <t>Brussels Sights</t>
  </si>
  <si>
    <t>brpier</t>
  </si>
  <si>
    <t>Brighton Palace Pier</t>
  </si>
  <si>
    <t>brighton|uk_combo</t>
  </si>
  <si>
    <t>royalpav</t>
  </si>
  <si>
    <t>Royal Pavilion</t>
  </si>
  <si>
    <t>brlanes</t>
  </si>
  <si>
    <t>The Lanes</t>
  </si>
  <si>
    <t>brsea</t>
  </si>
  <si>
    <t>Brighton Beach</t>
  </si>
  <si>
    <t>i360</t>
  </si>
  <si>
    <t>British Airways i360</t>
  </si>
  <si>
    <t>dl</t>
  </si>
  <si>
    <t>Disneyland Park</t>
  </si>
  <si>
    <t>disney</t>
  </si>
  <si>
    <t>dca</t>
  </si>
  <si>
    <t>California Adventure</t>
  </si>
  <si>
    <t>dtd</t>
  </si>
  <si>
    <t>Downtown Disney</t>
  </si>
  <si>
    <t>disneyextra</t>
  </si>
  <si>
    <t>ush</t>
  </si>
  <si>
    <t>Universal Studios Hollywood</t>
  </si>
  <si>
    <t>universal</t>
  </si>
  <si>
    <t>no_icon|no_country|no_coords|no_official_url|no_hours|theme_park_no_attractions</t>
  </si>
  <si>
    <t>sfmm</t>
  </si>
  <si>
    <t>Six Flags Magic Mountain</t>
  </si>
  <si>
    <t>knot</t>
  </si>
  <si>
    <t>Knott's Berry Farm</t>
  </si>
  <si>
    <t>llc</t>
  </si>
  <si>
    <t>LEGOLAND California</t>
  </si>
  <si>
    <t>swsd</t>
  </si>
  <si>
    <t>SeaWorld San Diego</t>
  </si>
  <si>
    <t>seaworld</t>
  </si>
  <si>
    <t>sdz</t>
  </si>
  <si>
    <t>San Diego Zoo</t>
  </si>
  <si>
    <t>hwd</t>
  </si>
  <si>
    <t>Hollywood Walk of Fame</t>
  </si>
  <si>
    <t>grif</t>
  </si>
  <si>
    <t>Griffith Observatory</t>
  </si>
  <si>
    <t>sm</t>
  </si>
  <si>
    <t>Santa Monica Pier</t>
  </si>
  <si>
    <t>ven</t>
  </si>
  <si>
    <t>Venice Beach</t>
  </si>
  <si>
    <t>kingscol</t>
  </si>
  <si>
    <t>King's College Cambridge</t>
  </si>
  <si>
    <t>cambridge|uk_combo</t>
  </si>
  <si>
    <t>cambpunt</t>
  </si>
  <si>
    <t>Punting on the Cam</t>
  </si>
  <si>
    <t>fitzwill</t>
  </si>
  <si>
    <t>Fitzwilliam Museum</t>
  </si>
  <si>
    <t>oxunitour</t>
  </si>
  <si>
    <t>Oxford University Tour</t>
  </si>
  <si>
    <t>bodlib</t>
  </si>
  <si>
    <t>Bodleian Library</t>
  </si>
  <si>
    <t>chchoxf</t>
  </si>
  <si>
    <t>Christ Church (HP)</t>
  </si>
  <si>
    <t>blenpal</t>
  </si>
  <si>
    <t>Blenheim Palace</t>
  </si>
  <si>
    <t>cardcast</t>
  </si>
  <si>
    <t>Cardiff Castle</t>
  </si>
  <si>
    <t>cardiff|uk_combo</t>
  </si>
  <si>
    <t>drwhoxp</t>
  </si>
  <si>
    <t>Doctor Who Experience</t>
  </si>
  <si>
    <t>snowd</t>
  </si>
  <si>
    <t>Snowdonia National Park</t>
  </si>
  <si>
    <t>brecon</t>
  </si>
  <si>
    <t>Brecon Beacons</t>
  </si>
  <si>
    <t>cardbay</t>
  </si>
  <si>
    <t>Cardiff Bay</t>
  </si>
  <si>
    <t>edenp</t>
  </si>
  <si>
    <t>Eden Project</t>
  </si>
  <si>
    <t>cornwall|uk_combo</t>
  </si>
  <si>
    <t>stmichm</t>
  </si>
  <si>
    <t>St Michael's Mount</t>
  </si>
  <si>
    <t>landsend</t>
  </si>
  <si>
    <t>Land's End</t>
  </si>
  <si>
    <t>tintag</t>
  </si>
  <si>
    <t>Tintagel Castle</t>
  </si>
  <si>
    <t>corncast</t>
  </si>
  <si>
    <t>Cornish Beaches</t>
  </si>
  <si>
    <t>stives</t>
  </si>
  <si>
    <t>St Ives</t>
  </si>
  <si>
    <t>tivoli</t>
  </si>
  <si>
    <t>Tivoli Gardens</t>
  </si>
  <si>
    <t>legobill</t>
  </si>
  <si>
    <t>LEGOLAND Billund</t>
  </si>
  <si>
    <t>djurs</t>
  </si>
  <si>
    <t>Djurs Sommerland</t>
  </si>
  <si>
    <t>cph</t>
  </si>
  <si>
    <t>Copenhagen Sights</t>
  </si>
  <si>
    <t>edincast</t>
  </si>
  <si>
    <t>Edinburgh Castle</t>
  </si>
  <si>
    <t>edinburgh|uk_combo</t>
  </si>
  <si>
    <t>royalmi</t>
  </si>
  <si>
    <t>Royal Mile</t>
  </si>
  <si>
    <t>holyrood</t>
  </si>
  <si>
    <t>Holyrood Palace</t>
  </si>
  <si>
    <t>arthurs</t>
  </si>
  <si>
    <t>Arthur's Seat</t>
  </si>
  <si>
    <t>natmusc</t>
  </si>
  <si>
    <t>National Museum Scotland</t>
  </si>
  <si>
    <t>edindun</t>
  </si>
  <si>
    <t>Edinburgh Dungeon</t>
  </si>
  <si>
    <t>dynear</t>
  </si>
  <si>
    <t>Dynamic Earth</t>
  </si>
  <si>
    <t>grassmkt</t>
  </si>
  <si>
    <t>Grassmarket</t>
  </si>
  <si>
    <t>elephhs</t>
  </si>
  <si>
    <t>The Elephant House (HP)</t>
  </si>
  <si>
    <t>dining</t>
  </si>
  <si>
    <t>linn</t>
  </si>
  <si>
    <t>Linnanmäki</t>
  </si>
  <si>
    <t>puuh</t>
  </si>
  <si>
    <t>PowerPark</t>
  </si>
  <si>
    <t>hels</t>
  </si>
  <si>
    <t>Helsinki Sights</t>
  </si>
  <si>
    <t>europa</t>
  </si>
  <si>
    <t>Europa-Park</t>
  </si>
  <si>
    <t>phant</t>
  </si>
  <si>
    <t>Phantasialand</t>
  </si>
  <si>
    <t>legodeu</t>
  </si>
  <si>
    <t>LEGOLAND Deutschland</t>
  </si>
  <si>
    <t>heide</t>
  </si>
  <si>
    <t>Heide Park</t>
  </si>
  <si>
    <t>movie</t>
  </si>
  <si>
    <t>Movie Park Germany</t>
  </si>
  <si>
    <t>hansa</t>
  </si>
  <si>
    <t>Hansa-Park</t>
  </si>
  <si>
    <t>berlin</t>
  </si>
  <si>
    <t>Berlin Sights</t>
  </si>
  <si>
    <t>munich</t>
  </si>
  <si>
    <t>Munich Sights</t>
  </si>
  <si>
    <t>mwau</t>
  </si>
  <si>
    <t>Movie World Gold Coast</t>
  </si>
  <si>
    <t>seaau</t>
  </si>
  <si>
    <t>Sea World Gold Coast</t>
  </si>
  <si>
    <t>dream</t>
  </si>
  <si>
    <t>Dreamworld</t>
  </si>
  <si>
    <t>wnwlau</t>
  </si>
  <si>
    <t>Wet'n'Wild Gold Coast</t>
  </si>
  <si>
    <t>whitbeach</t>
  </si>
  <si>
    <t>Whitewater World</t>
  </si>
  <si>
    <t>auzoo</t>
  </si>
  <si>
    <t>Australia Zoo</t>
  </si>
  <si>
    <t>surf</t>
  </si>
  <si>
    <t>Surfers Paradise Beach</t>
  </si>
  <si>
    <t>lochness</t>
  </si>
  <si>
    <t>Loch Ness</t>
  </si>
  <si>
    <t>highlands|uk_combo</t>
  </si>
  <si>
    <t>skye</t>
  </si>
  <si>
    <t>Isle of Skye</t>
  </si>
  <si>
    <t>glenfin</t>
  </si>
  <si>
    <t>Glenfinnan Viaduct (HP)</t>
  </si>
  <si>
    <t>glencoe</t>
  </si>
  <si>
    <t>Glencoe</t>
  </si>
  <si>
    <t>urqhart</t>
  </si>
  <si>
    <t>Urquhart Castle</t>
  </si>
  <si>
    <t>hkdl</t>
  </si>
  <si>
    <t>Hong Kong Disneyland</t>
  </si>
  <si>
    <t>ocean</t>
  </si>
  <si>
    <t>Ocean Park HK</t>
  </si>
  <si>
    <t>snoopy</t>
  </si>
  <si>
    <t>Snoopy's World</t>
  </si>
  <si>
    <t>peak</t>
  </si>
  <si>
    <t>The Peak</t>
  </si>
  <si>
    <t>wong</t>
  </si>
  <si>
    <t>Wong Tai Sin Temple</t>
  </si>
  <si>
    <t>garda</t>
  </si>
  <si>
    <t>Gardaland</t>
  </si>
  <si>
    <t>mirab</t>
  </si>
  <si>
    <t>Mirabilandia</t>
  </si>
  <si>
    <t>rainb</t>
  </si>
  <si>
    <t>Rainbow MagicLand</t>
  </si>
  <si>
    <t>cine</t>
  </si>
  <si>
    <t>Cinecittà World</t>
  </si>
  <si>
    <t>rome</t>
  </si>
  <si>
    <t>Rome Sights</t>
  </si>
  <si>
    <t>venice</t>
  </si>
  <si>
    <t>Venice</t>
  </si>
  <si>
    <t>winder</t>
  </si>
  <si>
    <t>Lake Windermere Cruise</t>
  </si>
  <si>
    <t>lakedist|uk_combo</t>
  </si>
  <si>
    <t>beatrx</t>
  </si>
  <si>
    <t>Beatrix Potter World</t>
  </si>
  <si>
    <t>heltvln</t>
  </si>
  <si>
    <t>Helvellyn Hike</t>
  </si>
  <si>
    <t>ravenglas</t>
  </si>
  <si>
    <t>Ravenglass Railway</t>
  </si>
  <si>
    <t>keswick</t>
  </si>
  <si>
    <t>Keswick Market Town</t>
  </si>
  <si>
    <t>advdome</t>
  </si>
  <si>
    <t>Adventuredome</t>
  </si>
  <si>
    <t>lvstrip</t>
  </si>
  <si>
    <t>Las Vegas Strip</t>
  </si>
  <si>
    <t>grandcyn</t>
  </si>
  <si>
    <t>Grand Canyon Day Trip</t>
  </si>
  <si>
    <t>anfield</t>
  </si>
  <si>
    <t>Anfield Stadium Tour</t>
  </si>
  <si>
    <t>liverpool|uk_combo</t>
  </si>
  <si>
    <t>beatlem</t>
  </si>
  <si>
    <t>The Beatles Story</t>
  </si>
  <si>
    <t>albertd</t>
  </si>
  <si>
    <t>Albert Dock</t>
  </si>
  <si>
    <t>tatelv</t>
  </si>
  <si>
    <t>Tate Liverpool</t>
  </si>
  <si>
    <t>cavern</t>
  </si>
  <si>
    <t>Cavern Club</t>
  </si>
  <si>
    <t>matherb</t>
  </si>
  <si>
    <t>Mathew Street</t>
  </si>
  <si>
    <t>warnstud</t>
  </si>
  <si>
    <t>Harry Potter Studio Tour</t>
  </si>
  <si>
    <t>london|uk_combo</t>
  </si>
  <si>
    <t>towerlon</t>
  </si>
  <si>
    <t>Tower of London</t>
  </si>
  <si>
    <t>lonbridge</t>
  </si>
  <si>
    <t>Tower Bridge</t>
  </si>
  <si>
    <t>westab</t>
  </si>
  <si>
    <t>Westminster Abbey</t>
  </si>
  <si>
    <t>bigben</t>
  </si>
  <si>
    <t>Big Ben &amp; Parliament</t>
  </si>
  <si>
    <t>buckpal</t>
  </si>
  <si>
    <t>Buckingham Palace</t>
  </si>
  <si>
    <t>trafals</t>
  </si>
  <si>
    <t>Trafalgar Square</t>
  </si>
  <si>
    <t>londeye</t>
  </si>
  <si>
    <t>London Eye</t>
  </si>
  <si>
    <t>tatemod</t>
  </si>
  <si>
    <t>Tate Modern</t>
  </si>
  <si>
    <t>natgal</t>
  </si>
  <si>
    <t>National Gallery</t>
  </si>
  <si>
    <t>natmus</t>
  </si>
  <si>
    <t>Natural History Museum</t>
  </si>
  <si>
    <t>scimus</t>
  </si>
  <si>
    <t>Science Museum London</t>
  </si>
  <si>
    <t>vaam</t>
  </si>
  <si>
    <t>V&amp;A Museum</t>
  </si>
  <si>
    <t>britmus</t>
  </si>
  <si>
    <t>British Museum</t>
  </si>
  <si>
    <t>stpauls</t>
  </si>
  <si>
    <t>St Paul's Cathedral</t>
  </si>
  <si>
    <t>covgard</t>
  </si>
  <si>
    <t>Covent Garden</t>
  </si>
  <si>
    <t>lonwe</t>
  </si>
  <si>
    <t>London West End Show</t>
  </si>
  <si>
    <t>tslond</t>
  </si>
  <si>
    <t>Shrek's Adventure</t>
  </si>
  <si>
    <t>lonzoo</t>
  </si>
  <si>
    <t>ZSL London Zoo</t>
  </si>
  <si>
    <t>seawlon</t>
  </si>
  <si>
    <t>SEA LIFE London</t>
  </si>
  <si>
    <t>madameT</t>
  </si>
  <si>
    <t>Madame Tussauds</t>
  </si>
  <si>
    <t>dungeon</t>
  </si>
  <si>
    <t>London Dungeon</t>
  </si>
  <si>
    <t>greenwc</t>
  </si>
  <si>
    <t>Greenwich &amp; Maritime Museum</t>
  </si>
  <si>
    <t>kensing</t>
  </si>
  <si>
    <t>Kensington Palace &amp; Gardens</t>
  </si>
  <si>
    <t>hydepk</t>
  </si>
  <si>
    <t>Hyde Park</t>
  </si>
  <si>
    <t>borough</t>
  </si>
  <si>
    <t>Borough Market</t>
  </si>
  <si>
    <t>camdenm</t>
  </si>
  <si>
    <t>Camden Market</t>
  </si>
  <si>
    <t>platf934</t>
  </si>
  <si>
    <t>Platform 9¾ (Kings Cross)</t>
  </si>
  <si>
    <t>oldtraf</t>
  </si>
  <si>
    <t>Old Trafford Tour</t>
  </si>
  <si>
    <t>manchester|uk_combo</t>
  </si>
  <si>
    <t>etihad</t>
  </si>
  <si>
    <t>Etihad Stadium Tour</t>
  </si>
  <si>
    <t>scimanc</t>
  </si>
  <si>
    <t>Science &amp; Industry Museum</t>
  </si>
  <si>
    <t>manccatm</t>
  </si>
  <si>
    <t>Manchester Cathedral</t>
  </si>
  <si>
    <t>coronst</t>
  </si>
  <si>
    <t>Coronation Street Tour</t>
  </si>
  <si>
    <t>sfmex</t>
  </si>
  <si>
    <t>Six Flags México</t>
  </si>
  <si>
    <t>xcaret</t>
  </si>
  <si>
    <t>Xcaret</t>
  </si>
  <si>
    <t>xelha</t>
  </si>
  <si>
    <t>Xel-Há</t>
  </si>
  <si>
    <t>xplor</t>
  </si>
  <si>
    <t>Xplor</t>
  </si>
  <si>
    <t>cancsigh</t>
  </si>
  <si>
    <t>Cancún Sights</t>
  </si>
  <si>
    <t>mayar</t>
  </si>
  <si>
    <t>Mayan Ruins</t>
  </si>
  <si>
    <t>portmia</t>
  </si>
  <si>
    <t>PortMiami Embark</t>
  </si>
  <si>
    <t>travel</t>
  </si>
  <si>
    <t>miami|cruise|florida_combo</t>
  </si>
  <si>
    <t>portmiad</t>
  </si>
  <si>
    <t>PortMiami Disembark</t>
  </si>
  <si>
    <t>seaqm</t>
  </si>
  <si>
    <t>Miami Seaquarium</t>
  </si>
  <si>
    <t>miami|florida_combo</t>
  </si>
  <si>
    <t>junglei</t>
  </si>
  <si>
    <t>Jungle Island</t>
  </si>
  <si>
    <t>zoomia</t>
  </si>
  <si>
    <t>Zoo Miami</t>
  </si>
  <si>
    <t>monkey</t>
  </si>
  <si>
    <t>Monkey Jungle</t>
  </si>
  <si>
    <t>gatorpk</t>
  </si>
  <si>
    <t>Everglades Alligator Farm</t>
  </si>
  <si>
    <t>fruitspice</t>
  </si>
  <si>
    <t>Fruit &amp; Spice Park</t>
  </si>
  <si>
    <t>mbeach</t>
  </si>
  <si>
    <t>Miami Beach</t>
  </si>
  <si>
    <t>southbch</t>
  </si>
  <si>
    <t>South Beach</t>
  </si>
  <si>
    <t>keybisc</t>
  </si>
  <si>
    <t>Key Biscayne</t>
  </si>
  <si>
    <t>bayharbr</t>
  </si>
  <si>
    <t>Bal Harbour Beach</t>
  </si>
  <si>
    <t>ftlaud</t>
  </si>
  <si>
    <t>Fort Lauderdale Beach</t>
  </si>
  <si>
    <t>hauloverp</t>
  </si>
  <si>
    <t>Haulover Park Beach</t>
  </si>
  <si>
    <t>evergnp</t>
  </si>
  <si>
    <t>Everglades National Park</t>
  </si>
  <si>
    <t>airboat</t>
  </si>
  <si>
    <t>Everglades Airboat Tour</t>
  </si>
  <si>
    <t>biscnp</t>
  </si>
  <si>
    <t>Biscayne National Park</t>
  </si>
  <si>
    <t>keylargo</t>
  </si>
  <si>
    <t>Key Largo Snorkelling</t>
  </si>
  <si>
    <t>johnpenn</t>
  </si>
  <si>
    <t>John Pennekamp Coral Reef</t>
  </si>
  <si>
    <t>littleh</t>
  </si>
  <si>
    <t>Little Havana</t>
  </si>
  <si>
    <t>wynwood</t>
  </si>
  <si>
    <t>Wynwood Walls</t>
  </si>
  <si>
    <t>artdeco</t>
  </si>
  <si>
    <t>Art Deco District</t>
  </si>
  <si>
    <t>vizcaya</t>
  </si>
  <si>
    <t>Vizcaya Museum</t>
  </si>
  <si>
    <t>perez</t>
  </si>
  <si>
    <t>Pérez Art Museum</t>
  </si>
  <si>
    <t>frostsci</t>
  </si>
  <si>
    <t>Frost Science Museum</t>
  </si>
  <si>
    <t>calleocho</t>
  </si>
  <si>
    <t>Calle Ocho</t>
  </si>
  <si>
    <t>coconut</t>
  </si>
  <si>
    <t>Coconut Grove</t>
  </si>
  <si>
    <t>coralgab</t>
  </si>
  <si>
    <t>Coral Gables</t>
  </si>
  <si>
    <t>keywest</t>
  </si>
  <si>
    <t>Key West Day Trip</t>
  </si>
  <si>
    <t>sevenml</t>
  </si>
  <si>
    <t>Seven Mile Bridge Drive</t>
  </si>
  <si>
    <t>naples</t>
  </si>
  <si>
    <t>Naples Day Trip</t>
  </si>
  <si>
    <t>sanibel</t>
  </si>
  <si>
    <t>Sanibel Island</t>
  </si>
  <si>
    <t>hardroc</t>
  </si>
  <si>
    <t>Hard Rock Stadium</t>
  </si>
  <si>
    <t>kaseya</t>
  </si>
  <si>
    <t>Kaseya Center (Heat)</t>
  </si>
  <si>
    <t>loandep</t>
  </si>
  <si>
    <t>loanDepot Park (Marlins)</t>
  </si>
  <si>
    <t>dolphnm</t>
  </si>
  <si>
    <t>Dolphin Mall</t>
  </si>
  <si>
    <t>avenura</t>
  </si>
  <si>
    <t>Aventura Mall</t>
  </si>
  <si>
    <t>lincoln</t>
  </si>
  <si>
    <t>Lincoln Road Mall</t>
  </si>
  <si>
    <t>bayside</t>
  </si>
  <si>
    <t>Bayside Marketplace</t>
  </si>
  <si>
    <t>versail</t>
  </si>
  <si>
    <t>Versailles Cuban</t>
  </si>
  <si>
    <t>joesston</t>
  </si>
  <si>
    <t>Joe's Stone Crab</t>
  </si>
  <si>
    <t>eft</t>
  </si>
  <si>
    <t>Efteling</t>
  </si>
  <si>
    <t>walib</t>
  </si>
  <si>
    <t>Walibi Holland</t>
  </si>
  <si>
    <t>duin</t>
  </si>
  <si>
    <t>Duinrell</t>
  </si>
  <si>
    <t>ams</t>
  </si>
  <si>
    <t>Amsterdam Sights</t>
  </si>
  <si>
    <t>flyout</t>
  </si>
  <si>
    <t>Fly Out / Arrive</t>
  </si>
  <si>
    <t>✈</t>
  </si>
  <si>
    <t>orlando|cali|lasvegas|toronto|mexico|paris|uk|germany|spain|netherlands|denmark|italy|belgium|sweden|finland|tokyo|osaka|shanghai|hongkong|singapore|seoul|uae|goldcoast|sydney|cruise|custom|miami|florida_combo|london|edinburgh|bath|liverpool|york|manchester|cambridge|lakedist|cornwall|highlands|cardiff|belfast|brighton|stratfm|uk_combo</t>
  </si>
  <si>
    <t>no_country|no_coords|no_official_url|no_hours</t>
  </si>
  <si>
    <t>flyhome</t>
  </si>
  <si>
    <t>Fly Home / Depart</t>
  </si>
  <si>
    <t>embark</t>
  </si>
  <si>
    <t>Cruise Embark</t>
  </si>
  <si>
    <t>⚓</t>
  </si>
  <si>
    <t>disemb</t>
  </si>
  <si>
    <t>Cruise Disembark</t>
  </si>
  <si>
    <t>sea</t>
  </si>
  <si>
    <t>Cruise — At Sea</t>
  </si>
  <si>
    <t>port</t>
  </si>
  <si>
    <t>Cruise — Port Day</t>
  </si>
  <si>
    <t>exc</t>
  </si>
  <si>
    <t>Shore Excursion</t>
  </si>
  <si>
    <t>beach</t>
  </si>
  <si>
    <t>Beach Day</t>
  </si>
  <si>
    <t>snk</t>
  </si>
  <si>
    <t>Snorkel / Dive</t>
  </si>
  <si>
    <t>psh</t>
  </si>
  <si>
    <t>Port Shopping</t>
  </si>
  <si>
    <t>ship</t>
  </si>
  <si>
    <t>Ship Day</t>
  </si>
  <si>
    <t>pool</t>
  </si>
  <si>
    <t>Ship Pool / Bar</t>
  </si>
  <si>
    <t>spac</t>
  </si>
  <si>
    <t>Ship Spa</t>
  </si>
  <si>
    <t>owl</t>
  </si>
  <si>
    <t>Quick Service</t>
  </si>
  <si>
    <t>tsr</t>
  </si>
  <si>
    <t>Table Service</t>
  </si>
  <si>
    <t>char</t>
  </si>
  <si>
    <t>Character Dining</t>
  </si>
  <si>
    <t>villa</t>
  </si>
  <si>
    <t>Villa / Home Cook</t>
  </si>
  <si>
    <t>specd</t>
  </si>
  <si>
    <t>Specialty Dining</t>
  </si>
  <si>
    <t>rest</t>
  </si>
  <si>
    <t>Rest / Pool</t>
  </si>
  <si>
    <t>shop</t>
  </si>
  <si>
    <t>Shopping / Outlets</t>
  </si>
  <si>
    <t>golf</t>
  </si>
  <si>
    <t>Golf</t>
  </si>
  <si>
    <t>spa</t>
  </si>
  <si>
    <t>Spa / Villa Day</t>
  </si>
  <si>
    <t>mk</t>
  </si>
  <si>
    <t>Magic Kingdom</t>
  </si>
  <si>
    <t>orlando|florida_combo</t>
  </si>
  <si>
    <t>ep</t>
  </si>
  <si>
    <t>EPCOT</t>
  </si>
  <si>
    <t>hs</t>
  </si>
  <si>
    <t>Hollywood Studios</t>
  </si>
  <si>
    <t>ak</t>
  </si>
  <si>
    <t>Animal Kingdom</t>
  </si>
  <si>
    <t>bb</t>
  </si>
  <si>
    <t>Blizzard Beach</t>
  </si>
  <si>
    <t>tl</t>
  </si>
  <si>
    <t>Typhoon Lagoon</t>
  </si>
  <si>
    <t>ds</t>
  </si>
  <si>
    <t>Disney Springs</t>
  </si>
  <si>
    <t>dq</t>
  </si>
  <si>
    <t>Mini-Golf</t>
  </si>
  <si>
    <t>us</t>
  </si>
  <si>
    <t>Universal Studios</t>
  </si>
  <si>
    <t>ioa</t>
  </si>
  <si>
    <t>Islands of Adventure</t>
  </si>
  <si>
    <t>eu</t>
  </si>
  <si>
    <t>Epic Universe</t>
  </si>
  <si>
    <t>vb</t>
  </si>
  <si>
    <t>Volcano Bay</t>
  </si>
  <si>
    <t>cw</t>
  </si>
  <si>
    <t>CityWalk</t>
  </si>
  <si>
    <t>sw</t>
  </si>
  <si>
    <t>SeaWorld Orlando</t>
  </si>
  <si>
    <t>aq</t>
  </si>
  <si>
    <t>Aquatica</t>
  </si>
  <si>
    <t>dc</t>
  </si>
  <si>
    <t>Discovery Cove</t>
  </si>
  <si>
    <t>bg</t>
  </si>
  <si>
    <t>Busch Gardens Tampa</t>
  </si>
  <si>
    <t>ksc</t>
  </si>
  <si>
    <t>Kennedy Space Center</t>
  </si>
  <si>
    <t>gl</t>
  </si>
  <si>
    <t>Gatorland</t>
  </si>
  <si>
    <t>ll</t>
  </si>
  <si>
    <t>LEGOLAND Florida</t>
  </si>
  <si>
    <t>ICON Park</t>
  </si>
  <si>
    <t>ww</t>
  </si>
  <si>
    <t>WonderWorks</t>
  </si>
  <si>
    <t>usj2</t>
  </si>
  <si>
    <t>USJ Osaka</t>
  </si>
  <si>
    <t>osakae</t>
  </si>
  <si>
    <t>Osaka Castle</t>
  </si>
  <si>
    <t>umeda</t>
  </si>
  <si>
    <t>Umeda Sky Building</t>
  </si>
  <si>
    <t>kyoto</t>
  </si>
  <si>
    <t>Kyoto Day Trip</t>
  </si>
  <si>
    <t>dlp</t>
  </si>
  <si>
    <t>Disneyland Paris</t>
  </si>
  <si>
    <t>wdsp</t>
  </si>
  <si>
    <t>Walt Disney Studios</t>
  </si>
  <si>
    <t>dv</t>
  </si>
  <si>
    <t>Disney Village</t>
  </si>
  <si>
    <t>ast</t>
  </si>
  <si>
    <t>Parc Astérix</t>
  </si>
  <si>
    <t>fut</t>
  </si>
  <si>
    <t>Futuroscope</t>
  </si>
  <si>
    <t>jda</t>
  </si>
  <si>
    <t>Jardin d'Acclimatation</t>
  </si>
  <si>
    <t>eif</t>
  </si>
  <si>
    <t>Eiffel Tower</t>
  </si>
  <si>
    <t>louv</t>
  </si>
  <si>
    <t>Louvre</t>
  </si>
  <si>
    <t>vers</t>
  </si>
  <si>
    <t>Versailles</t>
  </si>
  <si>
    <t>notr</t>
  </si>
  <si>
    <t>Notre-Dame</t>
  </si>
  <si>
    <t>seine</t>
  </si>
  <si>
    <t>Seine River Cruise</t>
  </si>
  <si>
    <t>arc</t>
  </si>
  <si>
    <t>Arc de Triomphe</t>
  </si>
  <si>
    <t>mont</t>
  </si>
  <si>
    <t>Montmartre</t>
  </si>
  <si>
    <t>every</t>
  </si>
  <si>
    <t>Everland</t>
  </si>
  <si>
    <t>lotw</t>
  </si>
  <si>
    <t>Lotte World</t>
  </si>
  <si>
    <t>caribbean</t>
  </si>
  <si>
    <t>Caribbean Bay</t>
  </si>
  <si>
    <t>seosights</t>
  </si>
  <si>
    <t>Seoul Sights</t>
  </si>
  <si>
    <t>shdl</t>
  </si>
  <si>
    <t>Shanghai Disneyland</t>
  </si>
  <si>
    <t>shdt</t>
  </si>
  <si>
    <t>Disneytown Shanghai</t>
  </si>
  <si>
    <t>wishs</t>
  </si>
  <si>
    <t>Wishing Star Park</t>
  </si>
  <si>
    <t>haichuan</t>
  </si>
  <si>
    <t>Haichang Ocean Park</t>
  </si>
  <si>
    <t>hphol</t>
  </si>
  <si>
    <t>Happy Valley Shanghai</t>
  </si>
  <si>
    <t>jinj</t>
  </si>
  <si>
    <t>Jinjiang Action Park</t>
  </si>
  <si>
    <t>shsights</t>
  </si>
  <si>
    <t>Shanghai Sights</t>
  </si>
  <si>
    <t>shbund</t>
  </si>
  <si>
    <t>The Bund</t>
  </si>
  <si>
    <t>uss</t>
  </si>
  <si>
    <t>Universal Studios Singapore</t>
  </si>
  <si>
    <t>ssgea</t>
  </si>
  <si>
    <t>S.E.A. Aquarium</t>
  </si>
  <si>
    <t>advcv</t>
  </si>
  <si>
    <t>Adventure Cove</t>
  </si>
  <si>
    <t>sent</t>
  </si>
  <si>
    <t>Sentosa Island</t>
  </si>
  <si>
    <t>gbtb</t>
  </si>
  <si>
    <t>Gardens by the Bay</t>
  </si>
  <si>
    <t>mbs</t>
  </si>
  <si>
    <t>Marina Bay Sands</t>
  </si>
  <si>
    <t>zoosg</t>
  </si>
  <si>
    <t>Singapore Zoo</t>
  </si>
  <si>
    <t>porta</t>
  </si>
  <si>
    <t>PortAventura World</t>
  </si>
  <si>
    <t>ferrar</t>
  </si>
  <si>
    <t>Ferrari Land</t>
  </si>
  <si>
    <t>caribe</t>
  </si>
  <si>
    <t>Caribe Aquatic Park</t>
  </si>
  <si>
    <t>warnes</t>
  </si>
  <si>
    <t>Parque Warner Madrid</t>
  </si>
  <si>
    <t>isla</t>
  </si>
  <si>
    <t>Isla Mágica (Sevilla)</t>
  </si>
  <si>
    <t>barc</t>
  </si>
  <si>
    <t>Barcelona Sights</t>
  </si>
  <si>
    <t>mad</t>
  </si>
  <si>
    <t>Madrid Sights</t>
  </si>
  <si>
    <t>costa</t>
  </si>
  <si>
    <t>Beach Day (Costa)</t>
  </si>
  <si>
    <t>shakespr</t>
  </si>
  <si>
    <t>Shakespeare's Birthplace</t>
  </si>
  <si>
    <t>stratfm|uk_combo</t>
  </si>
  <si>
    <t>rscspa</t>
  </si>
  <si>
    <t>RSC Stratford</t>
  </si>
  <si>
    <t>warwcast</t>
  </si>
  <si>
    <t>Warwick Castle</t>
  </si>
  <si>
    <t>kenilw</t>
  </si>
  <si>
    <t>Kenilworth Castle</t>
  </si>
  <si>
    <t>annehath</t>
  </si>
  <si>
    <t>Anne Hathaway's Cottage</t>
  </si>
  <si>
    <t>lise</t>
  </si>
  <si>
    <t>Liseberg</t>
  </si>
  <si>
    <t>grona</t>
  </si>
  <si>
    <t>Gröna Lund</t>
  </si>
  <si>
    <t>stock</t>
  </si>
  <si>
    <t>Stockholm Sights</t>
  </si>
  <si>
    <t>luna</t>
  </si>
  <si>
    <t>Luna Park Sydney</t>
  </si>
  <si>
    <t>sydoper</t>
  </si>
  <si>
    <t>Sydney Opera House</t>
  </si>
  <si>
    <t>tarong</t>
  </si>
  <si>
    <t>Taronga Zoo</t>
  </si>
  <si>
    <t>bondi</t>
  </si>
  <si>
    <t>Bondi Beach</t>
  </si>
  <si>
    <t>tdl</t>
  </si>
  <si>
    <t>Tokyo Disneyland</t>
  </si>
  <si>
    <t>tds</t>
  </si>
  <si>
    <t>Tokyo DisneySea</t>
  </si>
  <si>
    <t>iks</t>
  </si>
  <si>
    <t>Ikspiari</t>
  </si>
  <si>
    <t>usj</t>
  </si>
  <si>
    <t>Universal Studios Japan</t>
  </si>
  <si>
    <t>fuji</t>
  </si>
  <si>
    <t>Fuji-Q Highland</t>
  </si>
  <si>
    <t>san</t>
  </si>
  <si>
    <t>Sanrio Puroland</t>
  </si>
  <si>
    <t>yomi</t>
  </si>
  <si>
    <t>Yomiuriland</t>
  </si>
  <si>
    <t>tlab</t>
  </si>
  <si>
    <t>teamLab Planets</t>
  </si>
  <si>
    <t>joy</t>
  </si>
  <si>
    <t>Tokyo Joypolis</t>
  </si>
  <si>
    <t>tt</t>
  </si>
  <si>
    <t>Tokyo Tower</t>
  </si>
  <si>
    <t>sky</t>
  </si>
  <si>
    <t>Tokyo Skytree</t>
  </si>
  <si>
    <t>shib</t>
  </si>
  <si>
    <t>Shibuya / Harajuku</t>
  </si>
  <si>
    <t>aki</t>
  </si>
  <si>
    <t>Akihabara</t>
  </si>
  <si>
    <t>asa</t>
  </si>
  <si>
    <t>Asakusa / Senso-ji</t>
  </si>
  <si>
    <t>shin</t>
  </si>
  <si>
    <t>Shinjuku</t>
  </si>
  <si>
    <t>meiji</t>
  </si>
  <si>
    <t>Meiji Shrine</t>
  </si>
  <si>
    <t>mtf</t>
  </si>
  <si>
    <t>Mt Fuji Day Trip</t>
  </si>
  <si>
    <t>hak</t>
  </si>
  <si>
    <t>Hakone</t>
  </si>
  <si>
    <t>cwond</t>
  </si>
  <si>
    <t>Canada's Wonderland</t>
  </si>
  <si>
    <t>cnt</t>
  </si>
  <si>
    <t>CN Tower</t>
  </si>
  <si>
    <t>rom</t>
  </si>
  <si>
    <t>Royal Ontario Museum</t>
  </si>
  <si>
    <t>niag</t>
  </si>
  <si>
    <t>Niagara Falls</t>
  </si>
  <si>
    <t>img</t>
  </si>
  <si>
    <t>IMG Worlds of Adventure</t>
  </si>
  <si>
    <t>motgate</t>
  </si>
  <si>
    <t>Motiongate Dubai</t>
  </si>
  <si>
    <t>bolly</t>
  </si>
  <si>
    <t>Bollywood Parks</t>
  </si>
  <si>
    <t>legodxb</t>
  </si>
  <si>
    <t>LEGOLAND Dubai</t>
  </si>
  <si>
    <t>legodxbw</t>
  </si>
  <si>
    <t>LEGOLAND Water Park Dubai</t>
  </si>
  <si>
    <t>wbabu</t>
  </si>
  <si>
    <t>Warner Bros World Abu Dhabi</t>
  </si>
  <si>
    <t>ferrwo</t>
  </si>
  <si>
    <t>Ferrari World Abu Dhabi</t>
  </si>
  <si>
    <t>yaswtr</t>
  </si>
  <si>
    <t>Yas Waterworld</t>
  </si>
  <si>
    <t>swabu</t>
  </si>
  <si>
    <t>SeaWorld Abu Dhabi</t>
  </si>
  <si>
    <t>aquav</t>
  </si>
  <si>
    <t>Aquaventure Atlantis</t>
  </si>
  <si>
    <t>wildw</t>
  </si>
  <si>
    <t>Wild Wadi Waterpark</t>
  </si>
  <si>
    <t>dubmall</t>
  </si>
  <si>
    <t>Dubai Mall</t>
  </si>
  <si>
    <t>burj</t>
  </si>
  <si>
    <t>Burj Khalifa</t>
  </si>
  <si>
    <t>desafs</t>
  </si>
  <si>
    <t>Desert Safari</t>
  </si>
  <si>
    <t>alton</t>
  </si>
  <si>
    <t>Alton Towers</t>
  </si>
  <si>
    <t>uk|uk_combo</t>
  </si>
  <si>
    <t>thorpe</t>
  </si>
  <si>
    <t>Thorpe Park</t>
  </si>
  <si>
    <t>legoukw</t>
  </si>
  <si>
    <t>LEGOLAND Windsor</t>
  </si>
  <si>
    <t>chess</t>
  </si>
  <si>
    <t>Chessington</t>
  </si>
  <si>
    <t>paultons</t>
  </si>
  <si>
    <t>Paultons (Peppa Pig)</t>
  </si>
  <si>
    <t>drayton</t>
  </si>
  <si>
    <t>Drayton Manor</t>
  </si>
  <si>
    <t>bppb</t>
  </si>
  <si>
    <t>Blackpool Pleasure Beach</t>
  </si>
  <si>
    <t>flam</t>
  </si>
  <si>
    <t>Flamingo Land</t>
  </si>
  <si>
    <t>lon</t>
  </si>
  <si>
    <t>London Sights</t>
  </si>
  <si>
    <t>lonw</t>
  </si>
  <si>
    <t>London West End</t>
  </si>
  <si>
    <t>warner</t>
  </si>
  <si>
    <t>yorkmin</t>
  </si>
  <si>
    <t>York Minster</t>
  </si>
  <si>
    <t>york|uk_combo</t>
  </si>
  <si>
    <t>shambl</t>
  </si>
  <si>
    <t>The Shambles</t>
  </si>
  <si>
    <t>jorvik</t>
  </si>
  <si>
    <t>Jorvik Viking Centre</t>
  </si>
  <si>
    <t>yorkrail</t>
  </si>
  <si>
    <t>National Railway Museum</t>
  </si>
  <si>
    <t>yorkcst</t>
  </si>
  <si>
    <t>York Castle Museum</t>
  </si>
  <si>
    <t>yorkwall</t>
  </si>
  <si>
    <t>York City Walls</t>
  </si>
  <si>
    <t>park_id</t>
  </si>
  <si>
    <t>park_name</t>
  </si>
  <si>
    <t>category</t>
  </si>
  <si>
    <t>thrill_level</t>
  </si>
  <si>
    <t>is_indoor</t>
  </si>
  <si>
    <t>duration_minutes</t>
  </si>
  <si>
    <t>height_requirement_cm</t>
  </si>
  <si>
    <t>skip_line_system</t>
  </si>
  <si>
    <t>skip_line_tier</t>
  </si>
  <si>
    <t>avg_wait_peak_minutes</t>
  </si>
  <si>
    <t>avg_wait_offpeak_minutes</t>
  </si>
  <si>
    <t>is_seasonal</t>
  </si>
  <si>
    <t>is_temporarily_closed</t>
  </si>
  <si>
    <t>tags</t>
  </si>
  <si>
    <t>dca-goofys-sky</t>
  </si>
  <si>
    <t>Goofy's Sky School</t>
  </si>
  <si>
    <t>ride</t>
  </si>
  <si>
    <t>moderate</t>
  </si>
  <si>
    <t>no_duration|no_offpeak_wait|no_skip_line_system|no_tags|no_official_url</t>
  </si>
  <si>
    <t>dca-grizzly</t>
  </si>
  <si>
    <t>Grizzly River Run</t>
  </si>
  <si>
    <t>lightning_lane</t>
  </si>
  <si>
    <t>multi_pass</t>
  </si>
  <si>
    <t>no_duration|no_offpeak_wait|no_tags|no_official_url</t>
  </si>
  <si>
    <t>dca-guardians</t>
  </si>
  <si>
    <t>Guardians of the Galaxy: Mission BREAKOUT!</t>
  </si>
  <si>
    <t>intense</t>
  </si>
  <si>
    <t>dca-incredicoaster</t>
  </si>
  <si>
    <t>Incredicoaster</t>
  </si>
  <si>
    <t>dca-rsr</t>
  </si>
  <si>
    <t>Radiator Springs Racers</t>
  </si>
  <si>
    <t>single_pass</t>
  </si>
  <si>
    <t>dca-soarin</t>
  </si>
  <si>
    <t>Soarin' Around the World</t>
  </si>
  <si>
    <t>gentle</t>
  </si>
  <si>
    <t>dca-toy-story</t>
  </si>
  <si>
    <t>Toy Story Midway Mania!</t>
  </si>
  <si>
    <t>dca-web-slingers</t>
  </si>
  <si>
    <t>WEB SLINGERS: A Spider-Man Adventure</t>
  </si>
  <si>
    <t>dl-big-thunder</t>
  </si>
  <si>
    <t>Big Thunder Mountain Railroad</t>
  </si>
  <si>
    <t>dl-haunted-mansion</t>
  </si>
  <si>
    <t>Haunted Mansion</t>
  </si>
  <si>
    <t>dl-indiana-jones</t>
  </si>
  <si>
    <t>Indiana Jones Adventure</t>
  </si>
  <si>
    <t>thrilling</t>
  </si>
  <si>
    <t>dl-small-world</t>
  </si>
  <si>
    <t>it's a small world</t>
  </si>
  <si>
    <t>dl-matterhorn</t>
  </si>
  <si>
    <t>Matterhorn Bobsleds</t>
  </si>
  <si>
    <t>dl-smugglers-run</t>
  </si>
  <si>
    <t>Millennium Falcon: Smugglers Run</t>
  </si>
  <si>
    <t>dl-peter-pan</t>
  </si>
  <si>
    <t>Peter Pan's Flight</t>
  </si>
  <si>
    <t>dl-pirates</t>
  </si>
  <si>
    <t>Pirates of the Caribbean</t>
  </si>
  <si>
    <t>dl-space-mountain</t>
  </si>
  <si>
    <t>Space Mountain</t>
  </si>
  <si>
    <t>dl-rise-resistance</t>
  </si>
  <si>
    <t>Star Wars: Rise of the Resistance</t>
  </si>
  <si>
    <t>hkdl-ant-man</t>
  </si>
  <si>
    <t>Ant-Man and The Wasp: Nano Battle!</t>
  </si>
  <si>
    <t>hkdl-grizzly-mountain</t>
  </si>
  <si>
    <t>Big Grizzly Mountain Runaway Mine Cars</t>
  </si>
  <si>
    <t>hkdl-frozen-ever-after</t>
  </si>
  <si>
    <t>Frozen Ever After</t>
  </si>
  <si>
    <t>hkdl-space-mountain</t>
  </si>
  <si>
    <t>Hyperspace Mountain</t>
  </si>
  <si>
    <t>hkdl-iron-man</t>
  </si>
  <si>
    <t>Iron Man Experience</t>
  </si>
  <si>
    <t>hkdl-mystic-manor</t>
  </si>
  <si>
    <t>Mystic Manor</t>
  </si>
  <si>
    <t>hkdl-frozen-coaster</t>
  </si>
  <si>
    <t>Wandering Oaken's Sliding Sleighs</t>
  </si>
  <si>
    <t>ak-flight-of-passage</t>
  </si>
  <si>
    <t>Avatar Flight of Passage</t>
  </si>
  <si>
    <t>true</t>
  </si>
  <si>
    <t>disney_lightning_lane</t>
  </si>
  <si>
    <t>simulator|thrilling</t>
  </si>
  <si>
    <t>ak-expedition-everest</t>
  </si>
  <si>
    <t>Expedition Everest</t>
  </si>
  <si>
    <t>multi_pass_tier2</t>
  </si>
  <si>
    <t>roller_coaster|thrilling</t>
  </si>
  <si>
    <t>ak-kilimanjaro-safaris</t>
  </si>
  <si>
    <t>Kilimanjaro Safaris</t>
  </si>
  <si>
    <t>family|outdoor|safari</t>
  </si>
  <si>
    <t>ak-navi-river</t>
  </si>
  <si>
    <t>Na'vi River Journey</t>
  </si>
  <si>
    <t>dark_ride|family|boat_ride</t>
  </si>
  <si>
    <t>ak-kali-river</t>
  </si>
  <si>
    <t>Kali River Rapids</t>
  </si>
  <si>
    <t>water_ride|family</t>
  </si>
  <si>
    <t>ak-dinosaur</t>
  </si>
  <si>
    <t>DINOSAUR</t>
  </si>
  <si>
    <t>dark_ride|thrilling</t>
  </si>
  <si>
    <t>ep-guardians-galaxy</t>
  </si>
  <si>
    <t>Guardians of the Galaxy: Cosmic Rewind</t>
  </si>
  <si>
    <t>roller_coaster|thrilling|dark_ride</t>
  </si>
  <si>
    <t>ep-frozen-ever-after</t>
  </si>
  <si>
    <t>multi_pass_tier1</t>
  </si>
  <si>
    <t>ep-remys-ratatouille</t>
  </si>
  <si>
    <t>Remy's Ratatouille Adventure</t>
  </si>
  <si>
    <t>dark_ride|family|trackless</t>
  </si>
  <si>
    <t>ep-test-track</t>
  </si>
  <si>
    <t>Test Track</t>
  </si>
  <si>
    <t>thrilling|interactive</t>
  </si>
  <si>
    <t>ep-soarin</t>
  </si>
  <si>
    <t>family|simulator</t>
  </si>
  <si>
    <t>ep-mission-space</t>
  </si>
  <si>
    <t>Mission: SPACE</t>
  </si>
  <si>
    <t>ep-spaceship-earth</t>
  </si>
  <si>
    <t>Spaceship Earth</t>
  </si>
  <si>
    <t>dark_ride|family|classic</t>
  </si>
  <si>
    <t>ep-living-with-land</t>
  </si>
  <si>
    <t>Living with the Land</t>
  </si>
  <si>
    <t>family|boat_ride|educational</t>
  </si>
  <si>
    <t>ep-nemo-seas</t>
  </si>
  <si>
    <t>The Seas with Nemo &amp; Friends</t>
  </si>
  <si>
    <t>dark_ride|family</t>
  </si>
  <si>
    <t>ep-figment</t>
  </si>
  <si>
    <t>Journey Into Imagination with Figment</t>
  </si>
  <si>
    <t>eu-stardust-racers</t>
  </si>
  <si>
    <t>Stardust Racers</t>
  </si>
  <si>
    <t>universal_express</t>
  </si>
  <si>
    <t>express</t>
  </si>
  <si>
    <t>roller_coaster|thrilling|dueling</t>
  </si>
  <si>
    <t>eu-battle-ministry</t>
  </si>
  <si>
    <t>Harry Potter and the Battle at the Ministry</t>
  </si>
  <si>
    <t>eu-yoshi-adventure</t>
  </si>
  <si>
    <t>Yoshi's Adventure</t>
  </si>
  <si>
    <t>family|outdoor|trackless</t>
  </si>
  <si>
    <t>eu-mario-kart</t>
  </si>
  <si>
    <t>Mario Kart: Bowser's Challenge</t>
  </si>
  <si>
    <t>dark_ride|interactive|simulator</t>
  </si>
  <si>
    <t>eu-donkey-kong</t>
  </si>
  <si>
    <t>Mine-Cart Madness</t>
  </si>
  <si>
    <t>roller_coaster|family</t>
  </si>
  <si>
    <t>eu-how-to-train</t>
  </si>
  <si>
    <t>How to Train Your Dragon: Hiccup's Wing Gliders</t>
  </si>
  <si>
    <t>family|outdoor|suspended</t>
  </si>
  <si>
    <t>eu-curse-werewolf</t>
  </si>
  <si>
    <t>Curse of the Werewolf</t>
  </si>
  <si>
    <t>eu-monsters-unchained</t>
  </si>
  <si>
    <t>Monsters Unchained</t>
  </si>
  <si>
    <t>dark_ride|thrilling|trackless</t>
  </si>
  <si>
    <t>hs-rise-resistance</t>
  </si>
  <si>
    <t>hs-slinky-dog</t>
  </si>
  <si>
    <t>Slinky Dog Dash</t>
  </si>
  <si>
    <t>hs-mickey-runaway</t>
  </si>
  <si>
    <t>Mickey &amp; Minnie's Runaway Railway</t>
  </si>
  <si>
    <t>hs-tower-terror</t>
  </si>
  <si>
    <t>The Twilight Zone Tower of Terror</t>
  </si>
  <si>
    <t>thrilling|drop_ride|classic</t>
  </si>
  <si>
    <t>hs-toy-story-mania</t>
  </si>
  <si>
    <t>Toy Story Mania!</t>
  </si>
  <si>
    <t>family|interactive|dark_ride</t>
  </si>
  <si>
    <t>hs-smugglers-run</t>
  </si>
  <si>
    <t>hs-rock-n-roller</t>
  </si>
  <si>
    <t>Rock 'n' Roller Coaster</t>
  </si>
  <si>
    <t>hs-alien-saucers</t>
  </si>
  <si>
    <t>Alien Swirling Saucers</t>
  </si>
  <si>
    <t>family|spinner</t>
  </si>
  <si>
    <t>ioa-velocicoaster</t>
  </si>
  <si>
    <t>Jurassic World VelociCoaster</t>
  </si>
  <si>
    <t>ioa-forbidden-journey</t>
  </si>
  <si>
    <t>Harry Potter and the Forbidden Journey</t>
  </si>
  <si>
    <t>dark_ride|simulator|thrilling</t>
  </si>
  <si>
    <t>ioa-hulk</t>
  </si>
  <si>
    <t>The Incredible Hulk Coaster</t>
  </si>
  <si>
    <t>ioa-hagrid-falls</t>
  </si>
  <si>
    <t>Dudley Do-Right's Ripsaw Falls</t>
  </si>
  <si>
    <t>ioa-spiderman</t>
  </si>
  <si>
    <t>The Amazing Adventures of Spider-Man</t>
  </si>
  <si>
    <t>dark_ride|simulator</t>
  </si>
  <si>
    <t>ioa-flight-hippogriff</t>
  </si>
  <si>
    <t>Flight of the Hippogriff</t>
  </si>
  <si>
    <t>ioa-popeyes-barges</t>
  </si>
  <si>
    <t>Popeye &amp; Bluto's Bilge-Rat Barges</t>
  </si>
  <si>
    <t>mk-tron-lightcycle</t>
  </si>
  <si>
    <t>TRON Lightcycle / Run</t>
  </si>
  <si>
    <t>mk-seven-dwarfs</t>
  </si>
  <si>
    <t>Seven Dwarfs Mine Train</t>
  </si>
  <si>
    <t>roller_coaster|family|dark_ride</t>
  </si>
  <si>
    <t>mk-tianas-bayou</t>
  </si>
  <si>
    <t>Tiana's Bayou Adventure</t>
  </si>
  <si>
    <t>dark_ride|family|water_ride</t>
  </si>
  <si>
    <t>mk-big-thunder</t>
  </si>
  <si>
    <t>mk-jungle-cruise</t>
  </si>
  <si>
    <t>Jungle Cruise</t>
  </si>
  <si>
    <t>family|boat_ride</t>
  </si>
  <si>
    <t>mk-peter-pan</t>
  </si>
  <si>
    <t>mk-space-mountain</t>
  </si>
  <si>
    <t>roller_coaster|dark_ride|classic</t>
  </si>
  <si>
    <t>mk-pirates</t>
  </si>
  <si>
    <t>dark_ride|family|classic|boat_ride</t>
  </si>
  <si>
    <t>mk-haunted-mansion</t>
  </si>
  <si>
    <t>mk-buzz-lightyear</t>
  </si>
  <si>
    <t>Buzz Lightyear's Space Ranger Spin</t>
  </si>
  <si>
    <t>dark_ride|family|interactive</t>
  </si>
  <si>
    <t>mk-splash-mountain</t>
  </si>
  <si>
    <t>mk-dumbo</t>
  </si>
  <si>
    <t>Dumbo the Flying Elephant</t>
  </si>
  <si>
    <t>mk-barnstormer</t>
  </si>
  <si>
    <t>The Barnstormer</t>
  </si>
  <si>
    <t>usf-hagrids-motorbike</t>
  </si>
  <si>
    <t>Hagrid's Magical Creatures Motorbike Adventure</t>
  </si>
  <si>
    <t>roller_coaster|thrilling|outdoor</t>
  </si>
  <si>
    <t>usf-revenge-mummy</t>
  </si>
  <si>
    <t>Revenge of the Mummy</t>
  </si>
  <si>
    <t>roller_coaster|dark_ride|thrilling</t>
  </si>
  <si>
    <t>usf-transformers</t>
  </si>
  <si>
    <t>Transformers: The Ride 3D</t>
  </si>
  <si>
    <t>simulator|dark_ride</t>
  </si>
  <si>
    <t>usf-minion-mayhem</t>
  </si>
  <si>
    <t>Despicable Me Minion Mayhem</t>
  </si>
  <si>
    <t>simulator|family</t>
  </si>
  <si>
    <t>usf-gringotts</t>
  </si>
  <si>
    <t>Harry Potter and the Escape from Gringotts</t>
  </si>
  <si>
    <t>dark_ride|thrilling|roller_coaster</t>
  </si>
  <si>
    <t>usf-et-adventure</t>
  </si>
  <si>
    <t>E.T. Adventure</t>
  </si>
  <si>
    <t>usf-men-in-black</t>
  </si>
  <si>
    <t>Men in Black Alien Attack</t>
  </si>
  <si>
    <t>dark_ride|interactive</t>
  </si>
  <si>
    <t>usf-rip-ride-rockit</t>
  </si>
  <si>
    <t>Hollywood Rip Ride Rockit</t>
  </si>
  <si>
    <t>dlp-big-thunder</t>
  </si>
  <si>
    <t>Big Thunder Mountain</t>
  </si>
  <si>
    <t>premier_access</t>
  </si>
  <si>
    <t>dlp-buzz</t>
  </si>
  <si>
    <t>Buzz Lightyear Laser Blast</t>
  </si>
  <si>
    <t>dlp-indiana-jones</t>
  </si>
  <si>
    <t>Indiana Jones et le Temple du Péril</t>
  </si>
  <si>
    <t>dlp-small-world</t>
  </si>
  <si>
    <t>dlp-peter-pan</t>
  </si>
  <si>
    <t>dlp-phantom-manor</t>
  </si>
  <si>
    <t>Phantom Manor</t>
  </si>
  <si>
    <t>dlp-pirates</t>
  </si>
  <si>
    <t>dlp-hyperspace-mountain</t>
  </si>
  <si>
    <t>Star Wars Hyperspace Mountain</t>
  </si>
  <si>
    <t>wdsp-flight-force</t>
  </si>
  <si>
    <t>Avengers Assemble: Flight Force</t>
  </si>
  <si>
    <t>wdsp-cars-road-trip</t>
  </si>
  <si>
    <t>Cars Road Trip</t>
  </si>
  <si>
    <t>wdsp-crush</t>
  </si>
  <si>
    <t>Crush's Coaster</t>
  </si>
  <si>
    <t>wdsp-ratatouille</t>
  </si>
  <si>
    <t>Ratatouille: The Adventure</t>
  </si>
  <si>
    <t>wdsp-web-adventure</t>
  </si>
  <si>
    <t>Spider-Man W.E.B. Adventure</t>
  </si>
  <si>
    <t>wdsp-tower-terror</t>
  </si>
  <si>
    <t>wdsp-parachute</t>
  </si>
  <si>
    <t>Toy Soldiers Parachute Drop</t>
  </si>
  <si>
    <t>region_id</t>
  </si>
  <si>
    <t>skip_line_system_id</t>
  </si>
  <si>
    <t>none</t>
  </si>
  <si>
    <t>hongkong_disney_premier</t>
  </si>
  <si>
    <t>universal_japan_express</t>
  </si>
  <si>
    <t>disneyland_paris_premier_access</t>
  </si>
  <si>
    <t>shanghai_disney_premier</t>
  </si>
  <si>
    <t>universal_singapore_express</t>
  </si>
  <si>
    <t>tokyo_disney_premier</t>
  </si>
  <si>
    <t>Gap Analysis</t>
  </si>
  <si>
    <t>Counts per gap flag — formulas, will update if data sheets change</t>
  </si>
  <si>
    <t>Regions  —  parity_gaps column (col U)</t>
  </si>
  <si>
    <t>% of regions</t>
  </si>
  <si>
    <t>Parks  —  gaps column (col Q)</t>
  </si>
  <si>
    <t>% of parks</t>
  </si>
  <si>
    <t>Attractions  —  gaps column (col T)</t>
  </si>
  <si>
    <t>% of attractions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</si>
</sst>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8"/>
      <color rgb="FF0B1E5C"/>
      <name val="Arial"/>
      <family val="2"/>
    </font>
    <font>
      <i/>
      <sz val="10"/>
      <color rgb="FF666666"/>
      <name val="Arial"/>
      <family val="2"/>
    </font>
    <font>
      <b/>
      <sz val="12"/>
      <color rgb="FF0B1E5C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1E5C"/>
        <bgColor rgb="FF000080"/>
      </patternFill>
    </fill>
    <fill>
      <patternFill patternType="solid">
        <fgColor rgb="FFD8EBD0"/>
        <bgColor rgb="FFEFEFEF"/>
      </patternFill>
    </fill>
    <fill>
      <patternFill patternType="solid">
        <fgColor rgb="FFF4E5C2"/>
        <bgColor rgb="FFFFF1D6"/>
      </patternFill>
    </fill>
    <fill>
      <patternFill patternType="solid">
        <fgColor rgb="FFEFEFEF"/>
        <bgColor rgb="FFFFF1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2" borderId="0" xfId="0" applyFont="1" applyFill="1"/>
    <xf numFmtId="0" fontId="0" fillId="0" borderId="0" xfId="0" applyAlignment="1">
      <alignment horizontal="right"/>
    </xf>
    <xf numFmtId="0" fontId="6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3">
    <dxf>
      <fill>
        <patternFill>
          <bgColor rgb="FFFFF1D6"/>
        </patternFill>
      </fill>
    </dxf>
    <dxf>
      <fill>
        <patternFill>
          <bgColor rgb="FFFFF1D6"/>
        </patternFill>
      </fill>
    </dxf>
    <dxf>
      <fill>
        <patternFill>
          <bgColor rgb="FFFFF1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1D6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BD0"/>
      <rgbColor rgb="FFFFFF99"/>
      <rgbColor rgb="FF99CCFF"/>
      <rgbColor rgb="FFFF99CC"/>
      <rgbColor rgb="FFCC99FF"/>
      <rgbColor rgb="FFF4E5C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E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22" customWidth="1"/>
    <col min="2" max="2" width="38" customWidth="1"/>
    <col min="3" max="4" width="50" customWidth="1"/>
  </cols>
  <sheetData>
    <row r="1" spans="1:4" ht="21.75" customHeight="1" x14ac:dyDescent="0.25">
      <c r="A1" s="2" t="s">
        <v>0</v>
      </c>
      <c r="B1" s="2"/>
      <c r="C1" s="2"/>
      <c r="D1" s="2"/>
    </row>
    <row r="2" spans="1:4" ht="15" customHeight="1" x14ac:dyDescent="0.2">
      <c r="A2" s="1" t="s">
        <v>1</v>
      </c>
      <c r="B2" s="1"/>
      <c r="C2" s="1"/>
      <c r="D2" s="1"/>
    </row>
    <row r="4" spans="1:4" ht="15" customHeight="1" x14ac:dyDescent="0.2">
      <c r="A4" s="3" t="s">
        <v>2</v>
      </c>
    </row>
    <row r="5" spans="1:4" ht="15" customHeight="1" x14ac:dyDescent="0.2">
      <c r="A5" s="4" t="s">
        <v>3</v>
      </c>
      <c r="B5" s="5">
        <f>COUNTA(Regions!A2:A1000)</f>
        <v>43</v>
      </c>
    </row>
    <row r="6" spans="1:4" ht="15" customHeight="1" x14ac:dyDescent="0.2">
      <c r="A6" s="4" t="s">
        <v>4</v>
      </c>
      <c r="B6" s="5">
        <f>COUNTA(Parks!A2:A1000)</f>
        <v>351</v>
      </c>
    </row>
    <row r="7" spans="1:4" ht="15" customHeight="1" x14ac:dyDescent="0.2">
      <c r="A7" s="4" t="s">
        <v>5</v>
      </c>
      <c r="B7" s="5">
        <f>COUNTA(Attractions!A2:A1000)</f>
        <v>100</v>
      </c>
    </row>
    <row r="8" spans="1:4" ht="15" customHeight="1" x14ac:dyDescent="0.2">
      <c r="A8" s="4" t="s">
        <v>6</v>
      </c>
      <c r="B8" s="5">
        <f>COUNTA('Skip-Line Map'!A2:A1000)</f>
        <v>46</v>
      </c>
    </row>
    <row r="11" spans="1:4" ht="15" customHeight="1" x14ac:dyDescent="0.2">
      <c r="A11" s="3" t="s">
        <v>7</v>
      </c>
    </row>
    <row r="12" spans="1:4" ht="15" customHeight="1" x14ac:dyDescent="0.2">
      <c r="A12" s="6" t="s">
        <v>8</v>
      </c>
      <c r="B12" s="6" t="s">
        <v>9</v>
      </c>
      <c r="C12" s="6" t="s">
        <v>10</v>
      </c>
    </row>
    <row r="13" spans="1:4" ht="15" customHeight="1" x14ac:dyDescent="0.2">
      <c r="A13" s="4" t="s">
        <v>11</v>
      </c>
      <c r="B13" s="7">
        <f>COUNTIF(Regions!L2:L1000,"deep")</f>
        <v>2</v>
      </c>
      <c r="C13" s="7">
        <f>COUNTIFS(Regions!L2:L1000,"deep",Regions!U2:U1000,"*tier_overstated*")</f>
        <v>0</v>
      </c>
    </row>
    <row r="14" spans="1:4" ht="15" customHeight="1" x14ac:dyDescent="0.2">
      <c r="A14" s="4" t="s">
        <v>12</v>
      </c>
      <c r="B14" s="7">
        <f>COUNTIF(Regions!L2:L1000,"standard")</f>
        <v>7</v>
      </c>
      <c r="C14" s="7">
        <f>COUNTIFS(Regions!L2:L1000,"standard",Regions!U2:U1000,"*tier_overstated*")</f>
        <v>4</v>
      </c>
    </row>
    <row r="15" spans="1:4" ht="15" customHeight="1" x14ac:dyDescent="0.2">
      <c r="A15" s="4" t="s">
        <v>13</v>
      </c>
      <c r="B15" s="7">
        <f>COUNTIF(Regions!L2:L1000,"light")</f>
        <v>34</v>
      </c>
    </row>
    <row r="18" spans="1:4" ht="15" customHeight="1" x14ac:dyDescent="0.2">
      <c r="A18" s="3" t="s">
        <v>14</v>
      </c>
    </row>
    <row r="19" spans="1:4" ht="15" customHeight="1" x14ac:dyDescent="0.2">
      <c r="A19" s="6" t="s">
        <v>15</v>
      </c>
      <c r="B19" s="6" t="s">
        <v>16</v>
      </c>
      <c r="C19" s="6" t="s">
        <v>17</v>
      </c>
    </row>
    <row r="20" spans="1:4" ht="15" customHeight="1" x14ac:dyDescent="0.2">
      <c r="A20" s="4" t="s">
        <v>18</v>
      </c>
      <c r="B20" s="7">
        <f>COUNTA(Parks!G2:G1000)</f>
        <v>0</v>
      </c>
      <c r="C20" s="7">
        <f>COUNTA(Parks!A2:A1000)</f>
        <v>351</v>
      </c>
    </row>
    <row r="21" spans="1:4" ht="15" customHeight="1" x14ac:dyDescent="0.2">
      <c r="A21" s="4" t="s">
        <v>19</v>
      </c>
      <c r="B21" s="7">
        <f>COUNTIFS(Parks!I2:I1000,"&lt;&gt;")</f>
        <v>0</v>
      </c>
      <c r="C21" s="7">
        <f>COUNTA(Parks!A2:A1000)</f>
        <v>351</v>
      </c>
    </row>
    <row r="22" spans="1:4" ht="15" customHeight="1" x14ac:dyDescent="0.2">
      <c r="A22" s="4" t="s">
        <v>20</v>
      </c>
      <c r="B22" s="7">
        <f>COUNTIF(Parks!L2:L1000,TRUE())</f>
        <v>0</v>
      </c>
      <c r="C22" s="7">
        <f>COUNTA(Parks!A2:A1000)</f>
        <v>351</v>
      </c>
    </row>
    <row r="23" spans="1:4" ht="15" customHeight="1" x14ac:dyDescent="0.2">
      <c r="A23" s="4" t="s">
        <v>21</v>
      </c>
      <c r="B23" s="7">
        <f>COUNTIFS(Parks!F2:F1000,"&lt;&gt;")</f>
        <v>0</v>
      </c>
      <c r="C23" s="7">
        <f>COUNTA(Parks!A2:A1000)</f>
        <v>351</v>
      </c>
    </row>
    <row r="24" spans="1:4" ht="15" customHeight="1" x14ac:dyDescent="0.2">
      <c r="A24" s="4" t="s">
        <v>22</v>
      </c>
      <c r="B24" s="7">
        <f>COUNTIFS(Parks!C2:C1000,"&lt;&gt;")</f>
        <v>8</v>
      </c>
      <c r="C24" s="7">
        <f>COUNTA(Parks!A2:A1000)</f>
        <v>351</v>
      </c>
    </row>
    <row r="27" spans="1:4" ht="15" customHeight="1" x14ac:dyDescent="0.2">
      <c r="A27" s="3" t="s">
        <v>23</v>
      </c>
    </row>
    <row r="28" spans="1:4" ht="15" customHeight="1" x14ac:dyDescent="0.2">
      <c r="A28" s="8" t="s">
        <v>24</v>
      </c>
      <c r="B28" s="8" t="s">
        <v>25</v>
      </c>
      <c r="C28" s="8" t="s">
        <v>26</v>
      </c>
      <c r="D28" s="8" t="s">
        <v>27</v>
      </c>
    </row>
    <row r="29" spans="1:4" ht="15" customHeight="1" x14ac:dyDescent="0.2">
      <c r="A29" s="9" t="s">
        <v>28</v>
      </c>
      <c r="B29" s="9" t="s">
        <v>29</v>
      </c>
      <c r="C29" s="9" t="s">
        <v>30</v>
      </c>
      <c r="D29" s="9" t="s">
        <v>31</v>
      </c>
    </row>
    <row r="30" spans="1:4" ht="15" customHeight="1" x14ac:dyDescent="0.2">
      <c r="A30" s="9" t="s">
        <v>28</v>
      </c>
      <c r="B30" s="9" t="s">
        <v>32</v>
      </c>
      <c r="C30" s="9" t="s">
        <v>33</v>
      </c>
      <c r="D30" s="9" t="s">
        <v>34</v>
      </c>
    </row>
    <row r="31" spans="1:4" ht="15" customHeight="1" x14ac:dyDescent="0.2">
      <c r="A31" s="9" t="s">
        <v>28</v>
      </c>
      <c r="B31" s="9" t="s">
        <v>35</v>
      </c>
      <c r="C31" s="9" t="s">
        <v>36</v>
      </c>
      <c r="D31" s="9" t="s">
        <v>37</v>
      </c>
    </row>
    <row r="32" spans="1:4" ht="15" customHeight="1" x14ac:dyDescent="0.2">
      <c r="A32" s="9" t="s">
        <v>28</v>
      </c>
      <c r="B32" s="9" t="s">
        <v>38</v>
      </c>
      <c r="C32" s="9" t="s">
        <v>39</v>
      </c>
      <c r="D32" s="9" t="s">
        <v>40</v>
      </c>
    </row>
    <row r="33" spans="1:4" ht="15" customHeight="1" x14ac:dyDescent="0.2">
      <c r="A33" s="9" t="s">
        <v>28</v>
      </c>
      <c r="B33" s="9" t="s">
        <v>41</v>
      </c>
      <c r="C33" s="9" t="s">
        <v>42</v>
      </c>
      <c r="D33" s="9" t="s">
        <v>43</v>
      </c>
    </row>
    <row r="34" spans="1:4" ht="15" customHeight="1" x14ac:dyDescent="0.2">
      <c r="A34" s="9" t="s">
        <v>28</v>
      </c>
      <c r="B34" s="9" t="s">
        <v>44</v>
      </c>
      <c r="C34" s="9" t="s">
        <v>45</v>
      </c>
      <c r="D34" s="9" t="s">
        <v>46</v>
      </c>
    </row>
    <row r="35" spans="1:4" ht="15" customHeight="1" x14ac:dyDescent="0.2">
      <c r="A35" s="9" t="s">
        <v>47</v>
      </c>
      <c r="B35" s="9" t="s">
        <v>48</v>
      </c>
      <c r="C35" s="9" t="s">
        <v>49</v>
      </c>
      <c r="D35" s="9" t="s">
        <v>50</v>
      </c>
    </row>
    <row r="36" spans="1:4" ht="15" customHeight="1" x14ac:dyDescent="0.2">
      <c r="A36" s="9" t="s">
        <v>47</v>
      </c>
      <c r="B36" s="9" t="s">
        <v>51</v>
      </c>
      <c r="C36" s="9" t="s">
        <v>52</v>
      </c>
      <c r="D36" s="9" t="s">
        <v>53</v>
      </c>
    </row>
    <row r="37" spans="1:4" ht="15" customHeight="1" x14ac:dyDescent="0.2">
      <c r="A37" s="9" t="s">
        <v>47</v>
      </c>
      <c r="B37" s="9" t="s">
        <v>54</v>
      </c>
      <c r="C37" s="9" t="s">
        <v>55</v>
      </c>
      <c r="D37" s="9" t="s">
        <v>56</v>
      </c>
    </row>
    <row r="38" spans="1:4" ht="15" customHeight="1" x14ac:dyDescent="0.2">
      <c r="A38" s="9" t="s">
        <v>47</v>
      </c>
      <c r="B38" s="9" t="s">
        <v>57</v>
      </c>
      <c r="C38" s="9" t="s">
        <v>58</v>
      </c>
      <c r="D38" s="9" t="s">
        <v>59</v>
      </c>
    </row>
    <row r="39" spans="1:4" ht="15" customHeight="1" x14ac:dyDescent="0.2">
      <c r="A39" s="9" t="s">
        <v>47</v>
      </c>
      <c r="B39" s="9" t="s">
        <v>60</v>
      </c>
      <c r="C39" s="9" t="s">
        <v>61</v>
      </c>
      <c r="D39" s="9" t="s">
        <v>62</v>
      </c>
    </row>
    <row r="40" spans="1:4" ht="15" customHeight="1" x14ac:dyDescent="0.2">
      <c r="A40" s="9" t="s">
        <v>47</v>
      </c>
      <c r="B40" s="9" t="s">
        <v>63</v>
      </c>
      <c r="C40" s="9" t="s">
        <v>64</v>
      </c>
      <c r="D40" s="9" t="s">
        <v>65</v>
      </c>
    </row>
    <row r="41" spans="1:4" ht="15" customHeight="1" x14ac:dyDescent="0.2">
      <c r="A41" s="9" t="s">
        <v>66</v>
      </c>
      <c r="B41" s="9" t="s">
        <v>67</v>
      </c>
      <c r="C41" s="9" t="s">
        <v>68</v>
      </c>
      <c r="D41" s="9" t="s">
        <v>69</v>
      </c>
    </row>
    <row r="42" spans="1:4" ht="15" customHeight="1" x14ac:dyDescent="0.2">
      <c r="A42" s="9" t="s">
        <v>66</v>
      </c>
      <c r="B42" s="9" t="s">
        <v>70</v>
      </c>
      <c r="C42" s="9" t="s">
        <v>71</v>
      </c>
      <c r="D42" s="9" t="s">
        <v>72</v>
      </c>
    </row>
    <row r="43" spans="1:4" ht="15" customHeight="1" x14ac:dyDescent="0.2">
      <c r="A43" s="9" t="s">
        <v>66</v>
      </c>
      <c r="B43" s="9" t="s">
        <v>73</v>
      </c>
      <c r="C43" s="9" t="s">
        <v>74</v>
      </c>
      <c r="D43" s="9" t="s">
        <v>72</v>
      </c>
    </row>
    <row r="44" spans="1:4" ht="15" customHeight="1" x14ac:dyDescent="0.2">
      <c r="A44" s="9" t="s">
        <v>66</v>
      </c>
      <c r="B44" s="9" t="s">
        <v>75</v>
      </c>
      <c r="C44" s="9" t="s">
        <v>76</v>
      </c>
      <c r="D44" s="9" t="s">
        <v>77</v>
      </c>
    </row>
    <row r="45" spans="1:4" ht="15" customHeight="1" x14ac:dyDescent="0.2">
      <c r="A45" s="9" t="s">
        <v>66</v>
      </c>
      <c r="B45" s="9" t="s">
        <v>78</v>
      </c>
      <c r="C45" s="9" t="s">
        <v>79</v>
      </c>
      <c r="D45" s="9" t="s">
        <v>80</v>
      </c>
    </row>
    <row r="46" spans="1:4" ht="15" customHeight="1" x14ac:dyDescent="0.2">
      <c r="A46" s="9" t="s">
        <v>66</v>
      </c>
      <c r="B46" s="9" t="s">
        <v>57</v>
      </c>
      <c r="C46" s="9" t="s">
        <v>58</v>
      </c>
      <c r="D46" s="9" t="s">
        <v>59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28" customWidth="1"/>
    <col min="3" max="3" width="14" customWidth="1"/>
    <col min="4" max="4" width="22" customWidth="1"/>
    <col min="5" max="5" width="6" customWidth="1"/>
    <col min="6" max="6" width="16" customWidth="1"/>
    <col min="7" max="7" width="6" customWidth="1"/>
    <col min="8" max="8" width="10" customWidth="1"/>
    <col min="9" max="10" width="12" customWidth="1"/>
    <col min="11" max="11" width="14" customWidth="1"/>
    <col min="12" max="12" width="18" customWidth="1"/>
    <col min="13" max="13" width="10" customWidth="1"/>
    <col min="14" max="14" width="18" customWidth="1"/>
    <col min="15" max="15" width="14" customWidth="1"/>
    <col min="16" max="17" width="18" customWidth="1"/>
    <col min="18" max="18" width="16" customWidth="1"/>
    <col min="19" max="20" width="18" customWidth="1"/>
    <col min="21" max="21" width="60" customWidth="1"/>
  </cols>
  <sheetData>
    <row r="1" spans="1:21" ht="21.75" customHeight="1" x14ac:dyDescent="0.2">
      <c r="A1" s="10" t="s">
        <v>81</v>
      </c>
      <c r="B1" s="10" t="s">
        <v>82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90</v>
      </c>
      <c r="K1" s="10" t="s">
        <v>91</v>
      </c>
      <c r="L1" s="10" t="s">
        <v>92</v>
      </c>
      <c r="M1" s="10" t="s">
        <v>93</v>
      </c>
      <c r="N1" s="10" t="s">
        <v>94</v>
      </c>
      <c r="O1" s="10" t="s">
        <v>95</v>
      </c>
      <c r="P1" s="10" t="s">
        <v>96</v>
      </c>
      <c r="Q1" s="10" t="s">
        <v>97</v>
      </c>
      <c r="R1" s="10" t="s">
        <v>98</v>
      </c>
      <c r="S1" s="10" t="s">
        <v>99</v>
      </c>
      <c r="T1" s="10" t="s">
        <v>100</v>
      </c>
      <c r="U1" s="10" t="s">
        <v>101</v>
      </c>
    </row>
    <row r="2" spans="1:21" ht="15" customHeight="1" x14ac:dyDescent="0.2">
      <c r="A2" s="11" t="s">
        <v>102</v>
      </c>
      <c r="B2" s="11" t="s">
        <v>103</v>
      </c>
      <c r="C2" s="11" t="s">
        <v>104</v>
      </c>
      <c r="D2" s="11" t="s">
        <v>105</v>
      </c>
      <c r="E2" s="11" t="s">
        <v>106</v>
      </c>
      <c r="F2" s="11" t="s">
        <v>107</v>
      </c>
      <c r="G2" s="11" t="s">
        <v>108</v>
      </c>
      <c r="H2" s="11" t="b">
        <f>TRUE()</f>
        <v>1</v>
      </c>
      <c r="I2" s="11" t="b">
        <f>TRUE()</f>
        <v>1</v>
      </c>
      <c r="J2" s="11" t="b">
        <f>TRUE()</f>
        <v>1</v>
      </c>
      <c r="K2" s="11" t="b">
        <f>TRUE()</f>
        <v>1</v>
      </c>
      <c r="L2" s="12" t="s">
        <v>109</v>
      </c>
      <c r="M2" s="11">
        <v>10</v>
      </c>
      <c r="N2" s="11">
        <v>55</v>
      </c>
      <c r="O2" s="11">
        <v>44</v>
      </c>
      <c r="P2" s="11">
        <v>0</v>
      </c>
      <c r="Q2" s="11">
        <v>0</v>
      </c>
      <c r="R2" s="11">
        <v>0</v>
      </c>
      <c r="S2" s="11">
        <v>60</v>
      </c>
      <c r="T2" s="11">
        <v>2</v>
      </c>
      <c r="U2" s="11" t="s">
        <v>110</v>
      </c>
    </row>
    <row r="3" spans="1:21" ht="15" customHeight="1" x14ac:dyDescent="0.2">
      <c r="A3" s="11" t="s">
        <v>111</v>
      </c>
      <c r="B3" s="11" t="s">
        <v>112</v>
      </c>
      <c r="C3" s="11" t="s">
        <v>113</v>
      </c>
      <c r="D3" s="11" t="s">
        <v>105</v>
      </c>
      <c r="E3" s="11" t="s">
        <v>106</v>
      </c>
      <c r="F3" s="11" t="s">
        <v>107</v>
      </c>
      <c r="G3" s="11" t="s">
        <v>108</v>
      </c>
      <c r="H3" s="11" t="b">
        <f>TRUE()</f>
        <v>1</v>
      </c>
      <c r="I3" s="11" t="b">
        <f>TRUE()</f>
        <v>1</v>
      </c>
      <c r="J3" s="11" t="b">
        <f>TRUE()</f>
        <v>1</v>
      </c>
      <c r="K3" s="11" t="b">
        <f>TRUE()</f>
        <v>1</v>
      </c>
      <c r="L3" s="13" t="s">
        <v>114</v>
      </c>
      <c r="M3" s="11">
        <v>11</v>
      </c>
      <c r="N3" s="11">
        <v>58</v>
      </c>
      <c r="O3" s="11">
        <v>35</v>
      </c>
      <c r="P3" s="11">
        <v>0</v>
      </c>
      <c r="Q3" s="11">
        <v>0</v>
      </c>
      <c r="R3" s="11">
        <v>0</v>
      </c>
      <c r="S3" s="11">
        <v>18</v>
      </c>
      <c r="T3" s="11">
        <v>2</v>
      </c>
      <c r="U3" s="11" t="s">
        <v>110</v>
      </c>
    </row>
    <row r="4" spans="1:21" ht="15" customHeight="1" x14ac:dyDescent="0.2">
      <c r="A4" s="11" t="s">
        <v>115</v>
      </c>
      <c r="B4" s="11" t="s">
        <v>116</v>
      </c>
      <c r="C4" s="11" t="s">
        <v>116</v>
      </c>
      <c r="D4" s="11" t="s">
        <v>105</v>
      </c>
      <c r="E4" s="11" t="s">
        <v>106</v>
      </c>
      <c r="F4" s="11" t="s">
        <v>107</v>
      </c>
      <c r="G4" s="11" t="s">
        <v>108</v>
      </c>
      <c r="H4" s="11" t="b">
        <f>TRUE()</f>
        <v>1</v>
      </c>
      <c r="I4" s="11" t="b">
        <f>FALSE()</f>
        <v>0</v>
      </c>
      <c r="J4" s="11" t="b">
        <f>FALSE()</f>
        <v>0</v>
      </c>
      <c r="K4" s="11" t="b">
        <f>FALSE()</f>
        <v>0</v>
      </c>
      <c r="L4" s="14" t="s">
        <v>117</v>
      </c>
      <c r="M4" s="11">
        <v>12</v>
      </c>
      <c r="N4" s="11">
        <v>35</v>
      </c>
      <c r="O4" s="11">
        <v>25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 t="s">
        <v>110</v>
      </c>
    </row>
    <row r="5" spans="1:21" ht="15" customHeight="1" x14ac:dyDescent="0.2">
      <c r="A5" s="11" t="s">
        <v>118</v>
      </c>
      <c r="B5" s="11" t="s">
        <v>119</v>
      </c>
      <c r="C5" s="11" t="s">
        <v>119</v>
      </c>
      <c r="D5" s="11" t="s">
        <v>120</v>
      </c>
      <c r="E5" s="11" t="s">
        <v>121</v>
      </c>
      <c r="F5" s="11" t="s">
        <v>107</v>
      </c>
      <c r="G5" s="11" t="s">
        <v>122</v>
      </c>
      <c r="H5" s="11" t="b">
        <f>TRUE()</f>
        <v>1</v>
      </c>
      <c r="I5" s="11" t="b">
        <f>FALSE()</f>
        <v>0</v>
      </c>
      <c r="J5" s="11" t="b">
        <f>FALSE()</f>
        <v>0</v>
      </c>
      <c r="K5" s="11" t="b">
        <f>FALSE()</f>
        <v>0</v>
      </c>
      <c r="L5" s="14" t="s">
        <v>117</v>
      </c>
      <c r="M5" s="11">
        <v>13</v>
      </c>
      <c r="N5" s="11">
        <v>43</v>
      </c>
      <c r="O5" s="11">
        <v>26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 t="s">
        <v>110</v>
      </c>
    </row>
    <row r="6" spans="1:21" ht="15" customHeight="1" x14ac:dyDescent="0.2">
      <c r="A6" s="11" t="s">
        <v>123</v>
      </c>
      <c r="B6" s="11" t="s">
        <v>124</v>
      </c>
      <c r="C6" s="11" t="s">
        <v>124</v>
      </c>
      <c r="D6" s="11" t="s">
        <v>124</v>
      </c>
      <c r="E6" s="11" t="s">
        <v>125</v>
      </c>
      <c r="F6" s="11" t="s">
        <v>107</v>
      </c>
      <c r="G6" s="11" t="s">
        <v>126</v>
      </c>
      <c r="H6" s="11" t="b">
        <f>TRUE()</f>
        <v>1</v>
      </c>
      <c r="I6" s="11" t="b">
        <f>FALSE()</f>
        <v>0</v>
      </c>
      <c r="J6" s="11" t="b">
        <f>FALSE()</f>
        <v>0</v>
      </c>
      <c r="K6" s="11" t="b">
        <f>FALSE()</f>
        <v>0</v>
      </c>
      <c r="L6" s="14" t="s">
        <v>117</v>
      </c>
      <c r="M6" s="11">
        <v>14</v>
      </c>
      <c r="N6" s="11">
        <v>41</v>
      </c>
      <c r="O6" s="11">
        <v>28</v>
      </c>
      <c r="P6" s="11">
        <v>0</v>
      </c>
      <c r="Q6" s="11">
        <v>0</v>
      </c>
      <c r="R6" s="11">
        <v>0</v>
      </c>
      <c r="S6" s="11">
        <v>0</v>
      </c>
      <c r="T6" s="11">
        <v>1</v>
      </c>
      <c r="U6" s="11" t="s">
        <v>110</v>
      </c>
    </row>
    <row r="7" spans="1:21" ht="15" customHeight="1" x14ac:dyDescent="0.2">
      <c r="A7" s="11" t="s">
        <v>127</v>
      </c>
      <c r="B7" s="11" t="s">
        <v>128</v>
      </c>
      <c r="C7" s="11" t="s">
        <v>129</v>
      </c>
      <c r="D7" s="11" t="s">
        <v>105</v>
      </c>
      <c r="E7" s="11" t="s">
        <v>106</v>
      </c>
      <c r="F7" s="11" t="s">
        <v>107</v>
      </c>
      <c r="G7" s="11" t="s">
        <v>108</v>
      </c>
      <c r="H7" s="11" t="b">
        <f>TRUE()</f>
        <v>1</v>
      </c>
      <c r="I7" s="11" t="b">
        <f>TRUE()</f>
        <v>1</v>
      </c>
      <c r="J7" s="11" t="b">
        <f>FALSE()</f>
        <v>0</v>
      </c>
      <c r="K7" s="11" t="b">
        <f>FALSE()</f>
        <v>0</v>
      </c>
      <c r="L7" s="14" t="s">
        <v>117</v>
      </c>
      <c r="M7" s="11">
        <v>15</v>
      </c>
      <c r="N7" s="11">
        <v>60</v>
      </c>
      <c r="O7" s="11">
        <v>63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 t="s">
        <v>110</v>
      </c>
    </row>
    <row r="8" spans="1:21" ht="15" customHeight="1" x14ac:dyDescent="0.2">
      <c r="A8" s="11" t="s">
        <v>130</v>
      </c>
      <c r="B8" s="11" t="s">
        <v>131</v>
      </c>
      <c r="C8" s="11" t="s">
        <v>132</v>
      </c>
      <c r="D8" s="11" t="s">
        <v>105</v>
      </c>
      <c r="E8" s="11" t="s">
        <v>106</v>
      </c>
      <c r="F8" s="11" t="s">
        <v>107</v>
      </c>
      <c r="G8" s="11" t="s">
        <v>108</v>
      </c>
      <c r="H8" s="11" t="b">
        <f>TRUE()</f>
        <v>1</v>
      </c>
      <c r="I8" s="11" t="b">
        <f>TRUE()</f>
        <v>1</v>
      </c>
      <c r="J8" s="11" t="b">
        <f>TRUE()</f>
        <v>1</v>
      </c>
      <c r="K8" s="11" t="b">
        <f>TRUE()</f>
        <v>1</v>
      </c>
      <c r="L8" s="12" t="s">
        <v>109</v>
      </c>
      <c r="M8" s="11">
        <v>16</v>
      </c>
      <c r="N8" s="11">
        <v>61</v>
      </c>
      <c r="O8" s="11">
        <v>85</v>
      </c>
      <c r="P8" s="11">
        <v>0</v>
      </c>
      <c r="Q8" s="11">
        <v>0</v>
      </c>
      <c r="R8" s="11">
        <v>0</v>
      </c>
      <c r="S8" s="11">
        <v>60</v>
      </c>
      <c r="T8" s="11">
        <v>2</v>
      </c>
      <c r="U8" s="11" t="s">
        <v>110</v>
      </c>
    </row>
    <row r="9" spans="1:21" ht="15" customHeight="1" x14ac:dyDescent="0.2">
      <c r="A9" s="11" t="s">
        <v>133</v>
      </c>
      <c r="B9" s="11" t="s">
        <v>134</v>
      </c>
      <c r="C9" s="11" t="s">
        <v>134</v>
      </c>
      <c r="D9" s="11" t="s">
        <v>135</v>
      </c>
      <c r="E9" s="11" t="s">
        <v>136</v>
      </c>
      <c r="F9" s="11" t="s">
        <v>137</v>
      </c>
      <c r="G9" s="11" t="s">
        <v>138</v>
      </c>
      <c r="H9" s="11" t="b">
        <f>TRUE()</f>
        <v>1</v>
      </c>
      <c r="I9" s="11" t="b">
        <f>TRUE()</f>
        <v>1</v>
      </c>
      <c r="J9" s="11" t="b">
        <f>TRUE()</f>
        <v>1</v>
      </c>
      <c r="K9" s="11" t="b">
        <f>FALSE()</f>
        <v>0</v>
      </c>
      <c r="L9" s="13" t="s">
        <v>114</v>
      </c>
      <c r="M9" s="11">
        <v>20</v>
      </c>
      <c r="N9" s="11">
        <v>53</v>
      </c>
      <c r="O9" s="11">
        <v>35</v>
      </c>
      <c r="P9" s="11">
        <v>0</v>
      </c>
      <c r="Q9" s="11">
        <v>0</v>
      </c>
      <c r="R9" s="11">
        <v>0</v>
      </c>
      <c r="S9" s="11">
        <v>15</v>
      </c>
      <c r="T9" s="11">
        <v>1</v>
      </c>
      <c r="U9" s="11" t="s">
        <v>110</v>
      </c>
    </row>
    <row r="10" spans="1:21" ht="15" customHeight="1" x14ac:dyDescent="0.2">
      <c r="A10" s="11" t="s">
        <v>139</v>
      </c>
      <c r="B10" s="11" t="s">
        <v>140</v>
      </c>
      <c r="C10" s="11" t="s">
        <v>141</v>
      </c>
      <c r="D10" s="11" t="s">
        <v>140</v>
      </c>
      <c r="E10" s="11" t="s">
        <v>142</v>
      </c>
      <c r="F10" s="11" t="s">
        <v>137</v>
      </c>
      <c r="G10" s="11" t="s">
        <v>143</v>
      </c>
      <c r="H10" s="11" t="b">
        <f>TRUE()</f>
        <v>1</v>
      </c>
      <c r="I10" s="11" t="b">
        <f>TRUE()</f>
        <v>1</v>
      </c>
      <c r="J10" s="11" t="b">
        <f>FALSE()</f>
        <v>0</v>
      </c>
      <c r="K10" s="11" t="b">
        <f>FALSE()</f>
        <v>0</v>
      </c>
      <c r="L10" s="14" t="s">
        <v>117</v>
      </c>
      <c r="M10" s="11">
        <v>21</v>
      </c>
      <c r="N10" s="11">
        <v>53</v>
      </c>
      <c r="O10" s="11">
        <v>33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 t="s">
        <v>110</v>
      </c>
    </row>
    <row r="11" spans="1:21" ht="15" customHeight="1" x14ac:dyDescent="0.2">
      <c r="A11" s="11" t="s">
        <v>144</v>
      </c>
      <c r="B11" s="11" t="s">
        <v>145</v>
      </c>
      <c r="C11" s="11" t="s">
        <v>145</v>
      </c>
      <c r="D11" s="11" t="s">
        <v>145</v>
      </c>
      <c r="E11" s="11" t="s">
        <v>146</v>
      </c>
      <c r="F11" s="11" t="s">
        <v>137</v>
      </c>
      <c r="G11" s="11" t="s">
        <v>147</v>
      </c>
      <c r="H11" s="11" t="b">
        <f>TRUE()</f>
        <v>1</v>
      </c>
      <c r="I11" s="11" t="b">
        <f>TRUE()</f>
        <v>1</v>
      </c>
      <c r="J11" s="11" t="b">
        <f>FALSE()</f>
        <v>0</v>
      </c>
      <c r="K11" s="11" t="b">
        <f>FALSE()</f>
        <v>0</v>
      </c>
      <c r="L11" s="14" t="s">
        <v>117</v>
      </c>
      <c r="M11" s="11">
        <v>22</v>
      </c>
      <c r="N11" s="11">
        <v>48</v>
      </c>
      <c r="O11" s="11">
        <v>30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 t="s">
        <v>110</v>
      </c>
    </row>
    <row r="12" spans="1:21" ht="15" customHeight="1" x14ac:dyDescent="0.2">
      <c r="A12" s="11" t="s">
        <v>148</v>
      </c>
      <c r="B12" s="11" t="s">
        <v>149</v>
      </c>
      <c r="C12" s="11" t="s">
        <v>150</v>
      </c>
      <c r="D12" s="11" t="s">
        <v>150</v>
      </c>
      <c r="E12" s="11" t="s">
        <v>151</v>
      </c>
      <c r="F12" s="11" t="s">
        <v>137</v>
      </c>
      <c r="G12" s="11" t="s">
        <v>152</v>
      </c>
      <c r="H12" s="11" t="b">
        <f>TRUE()</f>
        <v>1</v>
      </c>
      <c r="I12" s="11" t="b">
        <f>TRUE()</f>
        <v>1</v>
      </c>
      <c r="J12" s="11" t="b">
        <f>FALSE()</f>
        <v>0</v>
      </c>
      <c r="K12" s="11" t="b">
        <f>FALSE()</f>
        <v>0</v>
      </c>
      <c r="L12" s="14" t="s">
        <v>117</v>
      </c>
      <c r="M12" s="11">
        <v>23</v>
      </c>
      <c r="N12" s="11">
        <v>47</v>
      </c>
      <c r="O12" s="11">
        <v>30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 t="s">
        <v>110</v>
      </c>
    </row>
    <row r="13" spans="1:21" ht="15" customHeight="1" x14ac:dyDescent="0.2">
      <c r="A13" s="11" t="s">
        <v>153</v>
      </c>
      <c r="B13" s="11" t="s">
        <v>154</v>
      </c>
      <c r="C13" s="11" t="s">
        <v>154</v>
      </c>
      <c r="D13" s="11" t="s">
        <v>154</v>
      </c>
      <c r="E13" s="11" t="s">
        <v>155</v>
      </c>
      <c r="F13" s="11" t="s">
        <v>137</v>
      </c>
      <c r="G13" s="11" t="s">
        <v>156</v>
      </c>
      <c r="H13" s="11" t="b">
        <f>TRUE()</f>
        <v>1</v>
      </c>
      <c r="I13" s="11" t="b">
        <f>FALSE()</f>
        <v>0</v>
      </c>
      <c r="J13" s="11" t="b">
        <f>FALSE()</f>
        <v>0</v>
      </c>
      <c r="K13" s="11" t="b">
        <f>FALSE()</f>
        <v>0</v>
      </c>
      <c r="L13" s="14" t="s">
        <v>117</v>
      </c>
      <c r="M13" s="11">
        <v>24</v>
      </c>
      <c r="N13" s="11">
        <v>38</v>
      </c>
      <c r="O13" s="11">
        <v>26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 t="s">
        <v>110</v>
      </c>
    </row>
    <row r="14" spans="1:21" ht="15" customHeight="1" x14ac:dyDescent="0.2">
      <c r="A14" s="11" t="s">
        <v>157</v>
      </c>
      <c r="B14" s="11" t="s">
        <v>158</v>
      </c>
      <c r="C14" s="11" t="s">
        <v>158</v>
      </c>
      <c r="D14" s="11" t="s">
        <v>158</v>
      </c>
      <c r="E14" s="11" t="s">
        <v>159</v>
      </c>
      <c r="F14" s="11" t="s">
        <v>137</v>
      </c>
      <c r="G14" s="11" t="s">
        <v>160</v>
      </c>
      <c r="H14" s="11" t="b">
        <f>TRUE()</f>
        <v>1</v>
      </c>
      <c r="I14" s="11" t="b">
        <f>FALSE()</f>
        <v>0</v>
      </c>
      <c r="J14" s="11" t="b">
        <f>FALSE()</f>
        <v>0</v>
      </c>
      <c r="K14" s="11" t="b">
        <f>FALSE()</f>
        <v>0</v>
      </c>
      <c r="L14" s="14" t="s">
        <v>117</v>
      </c>
      <c r="M14" s="11">
        <v>25</v>
      </c>
      <c r="N14" s="11">
        <v>47</v>
      </c>
      <c r="O14" s="11">
        <v>26</v>
      </c>
      <c r="P14" s="11">
        <v>0</v>
      </c>
      <c r="Q14" s="11">
        <v>0</v>
      </c>
      <c r="R14" s="11">
        <v>0</v>
      </c>
      <c r="S14" s="11">
        <v>0</v>
      </c>
      <c r="T14" s="11">
        <v>1</v>
      </c>
      <c r="U14" s="11" t="s">
        <v>110</v>
      </c>
    </row>
    <row r="15" spans="1:21" ht="15" customHeight="1" x14ac:dyDescent="0.2">
      <c r="A15" s="11" t="s">
        <v>161</v>
      </c>
      <c r="B15" s="11" t="s">
        <v>162</v>
      </c>
      <c r="C15" s="11" t="s">
        <v>162</v>
      </c>
      <c r="D15" s="11" t="s">
        <v>162</v>
      </c>
      <c r="E15" s="11" t="s">
        <v>163</v>
      </c>
      <c r="F15" s="11" t="s">
        <v>137</v>
      </c>
      <c r="G15" s="11" t="s">
        <v>164</v>
      </c>
      <c r="H15" s="11" t="b">
        <f>TRUE()</f>
        <v>1</v>
      </c>
      <c r="I15" s="11" t="b">
        <f>FALSE()</f>
        <v>0</v>
      </c>
      <c r="J15" s="11" t="b">
        <f>FALSE()</f>
        <v>0</v>
      </c>
      <c r="K15" s="11" t="b">
        <f>FALSE()</f>
        <v>0</v>
      </c>
      <c r="L15" s="14" t="s">
        <v>117</v>
      </c>
      <c r="M15" s="11">
        <v>26</v>
      </c>
      <c r="N15" s="11">
        <v>44</v>
      </c>
      <c r="O15" s="11">
        <v>28</v>
      </c>
      <c r="P15" s="11">
        <v>0</v>
      </c>
      <c r="Q15" s="11">
        <v>0</v>
      </c>
      <c r="R15" s="11">
        <v>0</v>
      </c>
      <c r="S15" s="11">
        <v>0</v>
      </c>
      <c r="T15" s="11">
        <v>1</v>
      </c>
      <c r="U15" s="11" t="s">
        <v>110</v>
      </c>
    </row>
    <row r="16" spans="1:21" ht="15" customHeight="1" x14ac:dyDescent="0.2">
      <c r="A16" s="11" t="s">
        <v>165</v>
      </c>
      <c r="B16" s="11" t="s">
        <v>166</v>
      </c>
      <c r="C16" s="11" t="s">
        <v>166</v>
      </c>
      <c r="D16" s="11" t="s">
        <v>166</v>
      </c>
      <c r="E16" s="11" t="s">
        <v>167</v>
      </c>
      <c r="F16" s="11" t="s">
        <v>137</v>
      </c>
      <c r="G16" s="11" t="s">
        <v>168</v>
      </c>
      <c r="H16" s="11" t="b">
        <f>TRUE()</f>
        <v>1</v>
      </c>
      <c r="I16" s="11" t="b">
        <f>FALSE()</f>
        <v>0</v>
      </c>
      <c r="J16" s="11" t="b">
        <f>FALSE()</f>
        <v>0</v>
      </c>
      <c r="K16" s="11" t="b">
        <f>FALSE()</f>
        <v>0</v>
      </c>
      <c r="L16" s="14" t="s">
        <v>117</v>
      </c>
      <c r="M16" s="11">
        <v>27</v>
      </c>
      <c r="N16" s="11">
        <v>29</v>
      </c>
      <c r="O16" s="11">
        <v>26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 t="s">
        <v>110</v>
      </c>
    </row>
    <row r="17" spans="1:21" ht="15" customHeight="1" x14ac:dyDescent="0.2">
      <c r="A17" s="11" t="s">
        <v>169</v>
      </c>
      <c r="B17" s="11" t="s">
        <v>170</v>
      </c>
      <c r="C17" s="11" t="s">
        <v>170</v>
      </c>
      <c r="D17" s="11" t="s">
        <v>170</v>
      </c>
      <c r="E17" s="11" t="s">
        <v>171</v>
      </c>
      <c r="F17" s="11" t="s">
        <v>137</v>
      </c>
      <c r="G17" s="11" t="s">
        <v>172</v>
      </c>
      <c r="H17" s="11" t="b">
        <f>TRUE()</f>
        <v>1</v>
      </c>
      <c r="I17" s="11" t="b">
        <f>FALSE()</f>
        <v>0</v>
      </c>
      <c r="J17" s="11" t="b">
        <f>FALSE()</f>
        <v>0</v>
      </c>
      <c r="K17" s="11" t="b">
        <f>FALSE()</f>
        <v>0</v>
      </c>
      <c r="L17" s="14" t="s">
        <v>117</v>
      </c>
      <c r="M17" s="11">
        <v>28</v>
      </c>
      <c r="N17" s="11">
        <v>23</v>
      </c>
      <c r="O17" s="11">
        <v>25</v>
      </c>
      <c r="P17" s="11">
        <v>0</v>
      </c>
      <c r="Q17" s="11">
        <v>0</v>
      </c>
      <c r="R17" s="11">
        <v>0</v>
      </c>
      <c r="S17" s="11">
        <v>0</v>
      </c>
      <c r="T17" s="11">
        <v>1</v>
      </c>
      <c r="U17" s="11" t="s">
        <v>110</v>
      </c>
    </row>
    <row r="18" spans="1:21" ht="15" customHeight="1" x14ac:dyDescent="0.2">
      <c r="A18" s="11" t="s">
        <v>173</v>
      </c>
      <c r="B18" s="11" t="s">
        <v>174</v>
      </c>
      <c r="C18" s="11" t="s">
        <v>174</v>
      </c>
      <c r="D18" s="11" t="s">
        <v>174</v>
      </c>
      <c r="E18" s="11" t="s">
        <v>175</v>
      </c>
      <c r="F18" s="11" t="s">
        <v>137</v>
      </c>
      <c r="G18" s="11" t="s">
        <v>176</v>
      </c>
      <c r="H18" s="11" t="b">
        <f>TRUE()</f>
        <v>1</v>
      </c>
      <c r="I18" s="11" t="b">
        <f>FALSE()</f>
        <v>0</v>
      </c>
      <c r="J18" s="11" t="b">
        <f>FALSE()</f>
        <v>0</v>
      </c>
      <c r="K18" s="11" t="b">
        <f>FALSE()</f>
        <v>0</v>
      </c>
      <c r="L18" s="14" t="s">
        <v>117</v>
      </c>
      <c r="M18" s="11">
        <v>29</v>
      </c>
      <c r="N18" s="11">
        <v>23</v>
      </c>
      <c r="O18" s="11">
        <v>25</v>
      </c>
      <c r="P18" s="11">
        <v>0</v>
      </c>
      <c r="Q18" s="11">
        <v>0</v>
      </c>
      <c r="R18" s="11">
        <v>0</v>
      </c>
      <c r="S18" s="11">
        <v>0</v>
      </c>
      <c r="T18" s="11">
        <v>1</v>
      </c>
      <c r="U18" s="11" t="s">
        <v>110</v>
      </c>
    </row>
    <row r="19" spans="1:21" ht="15" customHeight="1" x14ac:dyDescent="0.2">
      <c r="A19" s="11" t="s">
        <v>177</v>
      </c>
      <c r="B19" s="11" t="s">
        <v>178</v>
      </c>
      <c r="C19" s="11" t="s">
        <v>178</v>
      </c>
      <c r="D19" s="11" t="s">
        <v>179</v>
      </c>
      <c r="E19" s="11" t="s">
        <v>180</v>
      </c>
      <c r="F19" s="11" t="s">
        <v>181</v>
      </c>
      <c r="G19" s="11" t="s">
        <v>182</v>
      </c>
      <c r="H19" s="11" t="b">
        <f>TRUE()</f>
        <v>1</v>
      </c>
      <c r="I19" s="11" t="b">
        <f>TRUE()</f>
        <v>1</v>
      </c>
      <c r="J19" s="11" t="b">
        <f>TRUE()</f>
        <v>1</v>
      </c>
      <c r="K19" s="11" t="b">
        <f>FALSE()</f>
        <v>0</v>
      </c>
      <c r="L19" s="13" t="s">
        <v>114</v>
      </c>
      <c r="M19" s="11">
        <v>30</v>
      </c>
      <c r="N19" s="11">
        <v>46</v>
      </c>
      <c r="O19" s="11">
        <v>40</v>
      </c>
      <c r="P19" s="11">
        <v>0</v>
      </c>
      <c r="Q19" s="11">
        <v>0</v>
      </c>
      <c r="R19" s="11">
        <v>0</v>
      </c>
      <c r="S19" s="11">
        <v>0</v>
      </c>
      <c r="T19" s="11">
        <v>1</v>
      </c>
      <c r="U19" s="11" t="s">
        <v>183</v>
      </c>
    </row>
    <row r="20" spans="1:21" ht="15" customHeight="1" x14ac:dyDescent="0.2">
      <c r="A20" s="11" t="s">
        <v>184</v>
      </c>
      <c r="B20" s="11" t="s">
        <v>185</v>
      </c>
      <c r="C20" s="11" t="s">
        <v>186</v>
      </c>
      <c r="D20" s="11" t="s">
        <v>179</v>
      </c>
      <c r="E20" s="11" t="s">
        <v>180</v>
      </c>
      <c r="F20" s="11" t="s">
        <v>181</v>
      </c>
      <c r="G20" s="11" t="s">
        <v>182</v>
      </c>
      <c r="H20" s="11" t="b">
        <f>TRUE()</f>
        <v>1</v>
      </c>
      <c r="I20" s="11" t="b">
        <f>FALSE()</f>
        <v>0</v>
      </c>
      <c r="J20" s="11" t="b">
        <f>FALSE()</f>
        <v>0</v>
      </c>
      <c r="K20" s="11" t="b">
        <f>TRUE()</f>
        <v>1</v>
      </c>
      <c r="L20" s="13" t="s">
        <v>114</v>
      </c>
      <c r="M20" s="11">
        <v>31</v>
      </c>
      <c r="N20" s="11">
        <v>45</v>
      </c>
      <c r="O20" s="11">
        <v>26</v>
      </c>
      <c r="P20" s="11">
        <v>0</v>
      </c>
      <c r="Q20" s="11">
        <v>0</v>
      </c>
      <c r="R20" s="11">
        <v>0</v>
      </c>
      <c r="S20" s="11">
        <v>0</v>
      </c>
      <c r="T20" s="11">
        <v>1</v>
      </c>
      <c r="U20" s="11" t="s">
        <v>183</v>
      </c>
    </row>
    <row r="21" spans="1:21" ht="15" customHeight="1" x14ac:dyDescent="0.2">
      <c r="A21" s="11" t="s">
        <v>187</v>
      </c>
      <c r="B21" s="11" t="s">
        <v>188</v>
      </c>
      <c r="C21" s="11" t="s">
        <v>188</v>
      </c>
      <c r="D21" s="11" t="s">
        <v>189</v>
      </c>
      <c r="E21" s="11" t="s">
        <v>190</v>
      </c>
      <c r="F21" s="11" t="s">
        <v>181</v>
      </c>
      <c r="G21" s="11" t="s">
        <v>191</v>
      </c>
      <c r="H21" s="11" t="b">
        <f>TRUE()</f>
        <v>1</v>
      </c>
      <c r="I21" s="11" t="b">
        <f>TRUE()</f>
        <v>1</v>
      </c>
      <c r="J21" s="11" t="b">
        <f>TRUE()</f>
        <v>1</v>
      </c>
      <c r="K21" s="11" t="b">
        <f>FALSE()</f>
        <v>0</v>
      </c>
      <c r="L21" s="13" t="s">
        <v>114</v>
      </c>
      <c r="M21" s="11">
        <v>32</v>
      </c>
      <c r="N21" s="11">
        <v>34</v>
      </c>
      <c r="O21" s="11">
        <v>30</v>
      </c>
      <c r="P21" s="11">
        <v>0</v>
      </c>
      <c r="Q21" s="11">
        <v>0</v>
      </c>
      <c r="R21" s="11">
        <v>0</v>
      </c>
      <c r="S21" s="11">
        <v>0</v>
      </c>
      <c r="T21" s="11">
        <v>1</v>
      </c>
      <c r="U21" s="11" t="s">
        <v>183</v>
      </c>
    </row>
    <row r="22" spans="1:21" ht="15" customHeight="1" x14ac:dyDescent="0.2">
      <c r="A22" s="11" t="s">
        <v>192</v>
      </c>
      <c r="B22" s="11" t="s">
        <v>193</v>
      </c>
      <c r="C22" s="11" t="s">
        <v>193</v>
      </c>
      <c r="D22" s="11" t="s">
        <v>193</v>
      </c>
      <c r="E22" s="11" t="s">
        <v>194</v>
      </c>
      <c r="F22" s="11" t="s">
        <v>181</v>
      </c>
      <c r="G22" s="11" t="s">
        <v>195</v>
      </c>
      <c r="H22" s="11" t="b">
        <f>TRUE()</f>
        <v>1</v>
      </c>
      <c r="I22" s="11" t="b">
        <f>TRUE()</f>
        <v>1</v>
      </c>
      <c r="J22" s="11" t="b">
        <f>TRUE()</f>
        <v>1</v>
      </c>
      <c r="K22" s="11" t="b">
        <f>FALSE()</f>
        <v>0</v>
      </c>
      <c r="L22" s="13" t="s">
        <v>114</v>
      </c>
      <c r="M22" s="11">
        <v>33</v>
      </c>
      <c r="N22" s="11">
        <v>35</v>
      </c>
      <c r="O22" s="11">
        <v>27</v>
      </c>
      <c r="P22" s="11">
        <v>0</v>
      </c>
      <c r="Q22" s="11">
        <v>0</v>
      </c>
      <c r="R22" s="11">
        <v>0</v>
      </c>
      <c r="S22" s="11">
        <v>7</v>
      </c>
      <c r="T22" s="11">
        <v>1</v>
      </c>
      <c r="U22" s="11" t="s">
        <v>110</v>
      </c>
    </row>
    <row r="23" spans="1:21" ht="15" customHeight="1" x14ac:dyDescent="0.2">
      <c r="A23" s="11" t="s">
        <v>196</v>
      </c>
      <c r="B23" s="11" t="s">
        <v>197</v>
      </c>
      <c r="C23" s="11" t="s">
        <v>197</v>
      </c>
      <c r="D23" s="11" t="s">
        <v>197</v>
      </c>
      <c r="E23" s="11" t="s">
        <v>198</v>
      </c>
      <c r="F23" s="11" t="s">
        <v>181</v>
      </c>
      <c r="G23" s="11" t="s">
        <v>199</v>
      </c>
      <c r="H23" s="11" t="b">
        <f>TRUE()</f>
        <v>1</v>
      </c>
      <c r="I23" s="11" t="b">
        <f>TRUE()</f>
        <v>1</v>
      </c>
      <c r="J23" s="11" t="b">
        <f>FALSE()</f>
        <v>0</v>
      </c>
      <c r="K23" s="11" t="b">
        <f>TRUE()</f>
        <v>1</v>
      </c>
      <c r="L23" s="13" t="s">
        <v>114</v>
      </c>
      <c r="M23" s="11">
        <v>34</v>
      </c>
      <c r="N23" s="11">
        <v>39</v>
      </c>
      <c r="O23" s="11">
        <v>29</v>
      </c>
      <c r="P23" s="11">
        <v>0</v>
      </c>
      <c r="Q23" s="11">
        <v>0</v>
      </c>
      <c r="R23" s="11">
        <v>0</v>
      </c>
      <c r="S23" s="11">
        <v>0</v>
      </c>
      <c r="T23" s="11">
        <v>1</v>
      </c>
      <c r="U23" s="11" t="s">
        <v>183</v>
      </c>
    </row>
    <row r="24" spans="1:21" ht="15" customHeight="1" x14ac:dyDescent="0.2">
      <c r="A24" s="11" t="s">
        <v>200</v>
      </c>
      <c r="B24" s="11" t="s">
        <v>201</v>
      </c>
      <c r="C24" s="11" t="s">
        <v>201</v>
      </c>
      <c r="D24" s="11" t="s">
        <v>202</v>
      </c>
      <c r="E24" s="11" t="s">
        <v>203</v>
      </c>
      <c r="F24" s="11" t="s">
        <v>181</v>
      </c>
      <c r="G24" s="11" t="s">
        <v>204</v>
      </c>
      <c r="H24" s="11" t="b">
        <f>TRUE()</f>
        <v>1</v>
      </c>
      <c r="I24" s="11" t="b">
        <f>FALSE()</f>
        <v>0</v>
      </c>
      <c r="J24" s="11" t="b">
        <f>FALSE()</f>
        <v>0</v>
      </c>
      <c r="K24" s="11" t="b">
        <f>FALSE()</f>
        <v>0</v>
      </c>
      <c r="L24" s="14" t="s">
        <v>117</v>
      </c>
      <c r="M24" s="11">
        <v>35</v>
      </c>
      <c r="N24" s="11">
        <v>24</v>
      </c>
      <c r="O24" s="11">
        <v>26</v>
      </c>
      <c r="P24" s="11">
        <v>0</v>
      </c>
      <c r="Q24" s="11">
        <v>0</v>
      </c>
      <c r="R24" s="11">
        <v>0</v>
      </c>
      <c r="S24" s="11">
        <v>0</v>
      </c>
      <c r="T24" s="11">
        <v>1</v>
      </c>
      <c r="U24" s="11" t="s">
        <v>110</v>
      </c>
    </row>
    <row r="25" spans="1:21" ht="15" customHeight="1" x14ac:dyDescent="0.2">
      <c r="A25" s="11" t="s">
        <v>205</v>
      </c>
      <c r="B25" s="11" t="s">
        <v>206</v>
      </c>
      <c r="C25" s="11" t="s">
        <v>207</v>
      </c>
      <c r="D25" s="11" t="s">
        <v>208</v>
      </c>
      <c r="E25" s="11" t="s">
        <v>209</v>
      </c>
      <c r="F25" s="11" t="s">
        <v>210</v>
      </c>
      <c r="G25" s="11" t="s">
        <v>211</v>
      </c>
      <c r="H25" s="11" t="b">
        <f>TRUE()</f>
        <v>1</v>
      </c>
      <c r="I25" s="11" t="b">
        <f>TRUE()</f>
        <v>1</v>
      </c>
      <c r="J25" s="11" t="b">
        <f>FALSE()</f>
        <v>0</v>
      </c>
      <c r="K25" s="11" t="b">
        <f>FALSE()</f>
        <v>0</v>
      </c>
      <c r="L25" s="14" t="s">
        <v>117</v>
      </c>
      <c r="M25" s="11">
        <v>40</v>
      </c>
      <c r="N25" s="11">
        <v>66</v>
      </c>
      <c r="O25" s="11">
        <v>36</v>
      </c>
      <c r="P25" s="11">
        <v>0</v>
      </c>
      <c r="Q25" s="11">
        <v>0</v>
      </c>
      <c r="R25" s="11">
        <v>0</v>
      </c>
      <c r="S25" s="11">
        <v>0</v>
      </c>
      <c r="T25" s="11">
        <v>1</v>
      </c>
      <c r="U25" s="11" t="s">
        <v>110</v>
      </c>
    </row>
    <row r="26" spans="1:21" ht="15" customHeight="1" x14ac:dyDescent="0.2">
      <c r="A26" s="11" t="s">
        <v>212</v>
      </c>
      <c r="B26" s="11" t="s">
        <v>213</v>
      </c>
      <c r="C26" s="11" t="s">
        <v>214</v>
      </c>
      <c r="D26" s="11" t="s">
        <v>215</v>
      </c>
      <c r="E26" s="11" t="s">
        <v>216</v>
      </c>
      <c r="F26" s="11" t="s">
        <v>217</v>
      </c>
      <c r="G26" s="11" t="s">
        <v>218</v>
      </c>
      <c r="H26" s="11" t="b">
        <f>TRUE()</f>
        <v>1</v>
      </c>
      <c r="I26" s="11" t="b">
        <f>TRUE()</f>
        <v>1</v>
      </c>
      <c r="J26" s="11" t="b">
        <f>FALSE()</f>
        <v>0</v>
      </c>
      <c r="K26" s="11" t="b">
        <f>FALSE()</f>
        <v>0</v>
      </c>
      <c r="L26" s="14" t="s">
        <v>117</v>
      </c>
      <c r="M26" s="11">
        <v>50</v>
      </c>
      <c r="N26" s="11">
        <v>46</v>
      </c>
      <c r="O26" s="11">
        <v>29</v>
      </c>
      <c r="P26" s="11">
        <v>0</v>
      </c>
      <c r="Q26" s="11">
        <v>0</v>
      </c>
      <c r="R26" s="11">
        <v>0</v>
      </c>
      <c r="S26" s="11">
        <v>0</v>
      </c>
      <c r="T26" s="11">
        <v>1</v>
      </c>
      <c r="U26" s="11" t="s">
        <v>110</v>
      </c>
    </row>
    <row r="27" spans="1:21" ht="15" customHeight="1" x14ac:dyDescent="0.2">
      <c r="A27" s="11" t="s">
        <v>219</v>
      </c>
      <c r="B27" s="11" t="s">
        <v>220</v>
      </c>
      <c r="C27" s="11" t="s">
        <v>220</v>
      </c>
      <c r="D27" s="11" t="s">
        <v>215</v>
      </c>
      <c r="E27" s="11" t="s">
        <v>216</v>
      </c>
      <c r="F27" s="11" t="s">
        <v>217</v>
      </c>
      <c r="G27" s="11" t="s">
        <v>218</v>
      </c>
      <c r="H27" s="11" t="b">
        <f>TRUE()</f>
        <v>1</v>
      </c>
      <c r="I27" s="11" t="b">
        <f>FALSE()</f>
        <v>0</v>
      </c>
      <c r="J27" s="11" t="b">
        <f>FALSE()</f>
        <v>0</v>
      </c>
      <c r="K27" s="11" t="b">
        <f>FALSE()</f>
        <v>0</v>
      </c>
      <c r="L27" s="14" t="s">
        <v>117</v>
      </c>
      <c r="M27" s="11">
        <v>51</v>
      </c>
      <c r="N27" s="11">
        <v>32</v>
      </c>
      <c r="O27" s="11">
        <v>26</v>
      </c>
      <c r="P27" s="11">
        <v>0</v>
      </c>
      <c r="Q27" s="11">
        <v>0</v>
      </c>
      <c r="R27" s="11">
        <v>0</v>
      </c>
      <c r="S27" s="11">
        <v>0</v>
      </c>
      <c r="T27" s="11">
        <v>1</v>
      </c>
      <c r="U27" s="11" t="s">
        <v>110</v>
      </c>
    </row>
    <row r="28" spans="1:21" ht="15" customHeight="1" x14ac:dyDescent="0.2">
      <c r="A28" s="11" t="s">
        <v>221</v>
      </c>
      <c r="B28" s="11" t="s">
        <v>222</v>
      </c>
      <c r="C28" s="11" t="s">
        <v>223</v>
      </c>
      <c r="D28" s="11" t="s">
        <v>224</v>
      </c>
      <c r="E28" s="11" t="s">
        <v>225</v>
      </c>
      <c r="F28" s="11" t="s">
        <v>223</v>
      </c>
      <c r="G28" s="11" t="s">
        <v>226</v>
      </c>
      <c r="H28" s="11" t="b">
        <f>TRUE()</f>
        <v>1</v>
      </c>
      <c r="I28" s="11" t="b">
        <f>TRUE()</f>
        <v>1</v>
      </c>
      <c r="J28" s="11" t="b">
        <f>FALSE()</f>
        <v>0</v>
      </c>
      <c r="K28" s="11" t="b">
        <f>FALSE()</f>
        <v>0</v>
      </c>
      <c r="L28" s="14" t="s">
        <v>117</v>
      </c>
      <c r="M28" s="11">
        <v>60</v>
      </c>
      <c r="N28" s="11">
        <v>54</v>
      </c>
      <c r="O28" s="11">
        <v>24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 t="s">
        <v>110</v>
      </c>
    </row>
    <row r="29" spans="1:21" ht="15" customHeight="1" x14ac:dyDescent="0.2">
      <c r="A29" s="11" t="s">
        <v>227</v>
      </c>
      <c r="B29" s="11" t="s">
        <v>228</v>
      </c>
      <c r="C29" s="11" t="s">
        <v>228</v>
      </c>
      <c r="D29" s="11" t="s">
        <v>140</v>
      </c>
      <c r="E29" s="11" t="s">
        <v>142</v>
      </c>
      <c r="F29" s="11" t="s">
        <v>137</v>
      </c>
      <c r="G29" s="11" t="s">
        <v>143</v>
      </c>
      <c r="H29" s="11" t="b">
        <f>TRUE()</f>
        <v>1</v>
      </c>
      <c r="I29" s="11" t="b">
        <f>TRUE()</f>
        <v>1</v>
      </c>
      <c r="J29" s="11" t="b">
        <f>FALSE()</f>
        <v>0</v>
      </c>
      <c r="K29" s="11" t="b">
        <f>FALSE()</f>
        <v>0</v>
      </c>
      <c r="L29" s="14" t="s">
        <v>117</v>
      </c>
      <c r="M29" s="11">
        <v>100</v>
      </c>
      <c r="N29" s="11">
        <v>73</v>
      </c>
      <c r="O29" s="11">
        <v>50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 t="s">
        <v>110</v>
      </c>
    </row>
    <row r="30" spans="1:21" ht="15" customHeight="1" x14ac:dyDescent="0.2">
      <c r="A30" s="11" t="s">
        <v>229</v>
      </c>
      <c r="B30" s="11" t="s">
        <v>230</v>
      </c>
      <c r="C30" s="11" t="s">
        <v>231</v>
      </c>
      <c r="D30" s="11" t="s">
        <v>140</v>
      </c>
      <c r="E30" s="11" t="s">
        <v>142</v>
      </c>
      <c r="F30" s="11" t="s">
        <v>137</v>
      </c>
      <c r="G30" s="11" t="s">
        <v>232</v>
      </c>
      <c r="H30" s="11" t="b">
        <f>TRUE()</f>
        <v>1</v>
      </c>
      <c r="I30" s="11" t="b">
        <f>TRUE()</f>
        <v>1</v>
      </c>
      <c r="J30" s="11" t="b">
        <f>FALSE()</f>
        <v>0</v>
      </c>
      <c r="K30" s="11" t="b">
        <f>FALSE()</f>
        <v>0</v>
      </c>
      <c r="L30" s="14" t="s">
        <v>117</v>
      </c>
      <c r="M30" s="11">
        <v>101</v>
      </c>
      <c r="N30" s="11">
        <v>71</v>
      </c>
      <c r="O30" s="11">
        <v>31</v>
      </c>
      <c r="P30" s="11">
        <v>0</v>
      </c>
      <c r="Q30" s="11">
        <v>0</v>
      </c>
      <c r="R30" s="11">
        <v>0</v>
      </c>
      <c r="S30" s="11">
        <v>0</v>
      </c>
      <c r="T30" s="11">
        <v>1</v>
      </c>
      <c r="U30" s="11" t="s">
        <v>110</v>
      </c>
    </row>
    <row r="31" spans="1:21" ht="15" customHeight="1" x14ac:dyDescent="0.2">
      <c r="A31" s="11" t="s">
        <v>233</v>
      </c>
      <c r="B31" s="11" t="s">
        <v>234</v>
      </c>
      <c r="C31" s="11" t="s">
        <v>235</v>
      </c>
      <c r="D31" s="11" t="s">
        <v>140</v>
      </c>
      <c r="E31" s="11" t="s">
        <v>142</v>
      </c>
      <c r="F31" s="11" t="s">
        <v>137</v>
      </c>
      <c r="G31" s="11" t="s">
        <v>143</v>
      </c>
      <c r="H31" s="11" t="b">
        <f>TRUE()</f>
        <v>1</v>
      </c>
      <c r="I31" s="11" t="b">
        <f>FALSE()</f>
        <v>0</v>
      </c>
      <c r="J31" s="11" t="b">
        <f>FALSE()</f>
        <v>0</v>
      </c>
      <c r="K31" s="11" t="b">
        <f>FALSE()</f>
        <v>0</v>
      </c>
      <c r="L31" s="14" t="s">
        <v>117</v>
      </c>
      <c r="M31" s="11">
        <v>102</v>
      </c>
      <c r="N31" s="11">
        <v>73</v>
      </c>
      <c r="O31" s="11">
        <v>30</v>
      </c>
      <c r="P31" s="11">
        <v>0</v>
      </c>
      <c r="Q31" s="11">
        <v>0</v>
      </c>
      <c r="R31" s="11">
        <v>0</v>
      </c>
      <c r="S31" s="11">
        <v>0</v>
      </c>
      <c r="T31" s="11">
        <v>1</v>
      </c>
      <c r="U31" s="11" t="s">
        <v>110</v>
      </c>
    </row>
    <row r="32" spans="1:21" ht="15" customHeight="1" x14ac:dyDescent="0.2">
      <c r="A32" s="11" t="s">
        <v>236</v>
      </c>
      <c r="B32" s="11" t="s">
        <v>237</v>
      </c>
      <c r="C32" s="11" t="s">
        <v>237</v>
      </c>
      <c r="D32" s="11" t="s">
        <v>140</v>
      </c>
      <c r="E32" s="11" t="s">
        <v>142</v>
      </c>
      <c r="F32" s="11" t="s">
        <v>137</v>
      </c>
      <c r="G32" s="11" t="s">
        <v>143</v>
      </c>
      <c r="H32" s="11" t="b">
        <f>TRUE()</f>
        <v>1</v>
      </c>
      <c r="I32" s="11" t="b">
        <f>FALSE()</f>
        <v>0</v>
      </c>
      <c r="J32" s="11" t="b">
        <f>FALSE()</f>
        <v>0</v>
      </c>
      <c r="K32" s="11" t="b">
        <f>FALSE()</f>
        <v>0</v>
      </c>
      <c r="L32" s="14" t="s">
        <v>117</v>
      </c>
      <c r="M32" s="11">
        <v>103</v>
      </c>
      <c r="N32" s="11">
        <v>49</v>
      </c>
      <c r="O32" s="11">
        <v>28</v>
      </c>
      <c r="P32" s="11">
        <v>0</v>
      </c>
      <c r="Q32" s="11">
        <v>0</v>
      </c>
      <c r="R32" s="11">
        <v>0</v>
      </c>
      <c r="S32" s="11">
        <v>0</v>
      </c>
      <c r="T32" s="11">
        <v>1</v>
      </c>
      <c r="U32" s="11" t="s">
        <v>110</v>
      </c>
    </row>
    <row r="33" spans="1:21" ht="15" customHeight="1" x14ac:dyDescent="0.2">
      <c r="A33" s="11" t="s">
        <v>238</v>
      </c>
      <c r="B33" s="11" t="s">
        <v>239</v>
      </c>
      <c r="C33" s="11" t="s">
        <v>239</v>
      </c>
      <c r="D33" s="11" t="s">
        <v>140</v>
      </c>
      <c r="E33" s="11" t="s">
        <v>142</v>
      </c>
      <c r="F33" s="11" t="s">
        <v>137</v>
      </c>
      <c r="G33" s="11" t="s">
        <v>143</v>
      </c>
      <c r="H33" s="11" t="b">
        <f>TRUE()</f>
        <v>1</v>
      </c>
      <c r="I33" s="11" t="b">
        <f>FALSE()</f>
        <v>0</v>
      </c>
      <c r="J33" s="11" t="b">
        <f>FALSE()</f>
        <v>0</v>
      </c>
      <c r="K33" s="11" t="b">
        <f>FALSE()</f>
        <v>0</v>
      </c>
      <c r="L33" s="14" t="s">
        <v>117</v>
      </c>
      <c r="M33" s="11">
        <v>104</v>
      </c>
      <c r="N33" s="11">
        <v>64</v>
      </c>
      <c r="O33" s="11">
        <v>28</v>
      </c>
      <c r="P33" s="11">
        <v>0</v>
      </c>
      <c r="Q33" s="11">
        <v>0</v>
      </c>
      <c r="R33" s="11">
        <v>0</v>
      </c>
      <c r="S33" s="11">
        <v>0</v>
      </c>
      <c r="T33" s="11">
        <v>1</v>
      </c>
      <c r="U33" s="11" t="s">
        <v>110</v>
      </c>
    </row>
    <row r="34" spans="1:21" ht="15" customHeight="1" x14ac:dyDescent="0.2">
      <c r="A34" s="11" t="s">
        <v>240</v>
      </c>
      <c r="B34" s="11" t="s">
        <v>241</v>
      </c>
      <c r="C34" s="11" t="s">
        <v>241</v>
      </c>
      <c r="D34" s="11" t="s">
        <v>140</v>
      </c>
      <c r="E34" s="11" t="s">
        <v>142</v>
      </c>
      <c r="F34" s="11" t="s">
        <v>137</v>
      </c>
      <c r="G34" s="11" t="s">
        <v>143</v>
      </c>
      <c r="H34" s="11" t="b">
        <f>TRUE()</f>
        <v>1</v>
      </c>
      <c r="I34" s="11" t="b">
        <f>FALSE()</f>
        <v>0</v>
      </c>
      <c r="J34" s="11" t="b">
        <f>FALSE()</f>
        <v>0</v>
      </c>
      <c r="K34" s="11" t="b">
        <f>FALSE()</f>
        <v>0</v>
      </c>
      <c r="L34" s="14" t="s">
        <v>117</v>
      </c>
      <c r="M34" s="11">
        <v>105</v>
      </c>
      <c r="N34" s="11">
        <v>56</v>
      </c>
      <c r="O34" s="11">
        <v>27</v>
      </c>
      <c r="P34" s="11">
        <v>0</v>
      </c>
      <c r="Q34" s="11">
        <v>0</v>
      </c>
      <c r="R34" s="11">
        <v>0</v>
      </c>
      <c r="S34" s="11">
        <v>0</v>
      </c>
      <c r="T34" s="11">
        <v>1</v>
      </c>
      <c r="U34" s="11" t="s">
        <v>110</v>
      </c>
    </row>
    <row r="35" spans="1:21" ht="15" customHeight="1" x14ac:dyDescent="0.2">
      <c r="A35" s="11" t="s">
        <v>242</v>
      </c>
      <c r="B35" s="11" t="s">
        <v>243</v>
      </c>
      <c r="C35" s="11" t="s">
        <v>244</v>
      </c>
      <c r="D35" s="11" t="s">
        <v>140</v>
      </c>
      <c r="E35" s="11" t="s">
        <v>142</v>
      </c>
      <c r="F35" s="11" t="s">
        <v>137</v>
      </c>
      <c r="G35" s="11" t="s">
        <v>143</v>
      </c>
      <c r="H35" s="11" t="b">
        <f>TRUE()</f>
        <v>1</v>
      </c>
      <c r="I35" s="11" t="b">
        <f>FALSE()</f>
        <v>0</v>
      </c>
      <c r="J35" s="11" t="b">
        <f>FALSE()</f>
        <v>0</v>
      </c>
      <c r="K35" s="11" t="b">
        <f>FALSE()</f>
        <v>0</v>
      </c>
      <c r="L35" s="14" t="s">
        <v>117</v>
      </c>
      <c r="M35" s="11">
        <v>106</v>
      </c>
      <c r="N35" s="11">
        <v>60</v>
      </c>
      <c r="O35" s="11">
        <v>29</v>
      </c>
      <c r="P35" s="11">
        <v>0</v>
      </c>
      <c r="Q35" s="11">
        <v>0</v>
      </c>
      <c r="R35" s="11">
        <v>0</v>
      </c>
      <c r="S35" s="11">
        <v>0</v>
      </c>
      <c r="T35" s="11">
        <v>1</v>
      </c>
      <c r="U35" s="11" t="s">
        <v>110</v>
      </c>
    </row>
    <row r="36" spans="1:21" ht="15" customHeight="1" x14ac:dyDescent="0.2">
      <c r="A36" s="11" t="s">
        <v>245</v>
      </c>
      <c r="B36" s="11" t="s">
        <v>246</v>
      </c>
      <c r="C36" s="11" t="s">
        <v>247</v>
      </c>
      <c r="D36" s="11" t="s">
        <v>140</v>
      </c>
      <c r="E36" s="11" t="s">
        <v>142</v>
      </c>
      <c r="F36" s="11" t="s">
        <v>137</v>
      </c>
      <c r="G36" s="11" t="s">
        <v>143</v>
      </c>
      <c r="H36" s="11" t="b">
        <f>TRUE()</f>
        <v>1</v>
      </c>
      <c r="I36" s="11" t="b">
        <f>FALSE()</f>
        <v>0</v>
      </c>
      <c r="J36" s="11" t="b">
        <f>FALSE()</f>
        <v>0</v>
      </c>
      <c r="K36" s="11" t="b">
        <f>FALSE()</f>
        <v>0</v>
      </c>
      <c r="L36" s="14" t="s">
        <v>117</v>
      </c>
      <c r="M36" s="11">
        <v>107</v>
      </c>
      <c r="N36" s="11">
        <v>62</v>
      </c>
      <c r="O36" s="11">
        <v>27</v>
      </c>
      <c r="P36" s="11">
        <v>0</v>
      </c>
      <c r="Q36" s="11">
        <v>0</v>
      </c>
      <c r="R36" s="11">
        <v>0</v>
      </c>
      <c r="S36" s="11">
        <v>0</v>
      </c>
      <c r="T36" s="11">
        <v>1</v>
      </c>
      <c r="U36" s="11" t="s">
        <v>110</v>
      </c>
    </row>
    <row r="37" spans="1:21" ht="15" customHeight="1" x14ac:dyDescent="0.2">
      <c r="A37" s="11" t="s">
        <v>248</v>
      </c>
      <c r="B37" s="11" t="s">
        <v>249</v>
      </c>
      <c r="C37" s="11" t="s">
        <v>249</v>
      </c>
      <c r="D37" s="11" t="s">
        <v>140</v>
      </c>
      <c r="E37" s="11" t="s">
        <v>142</v>
      </c>
      <c r="F37" s="11" t="s">
        <v>137</v>
      </c>
      <c r="G37" s="11" t="s">
        <v>143</v>
      </c>
      <c r="H37" s="11" t="b">
        <f>TRUE()</f>
        <v>1</v>
      </c>
      <c r="I37" s="11" t="b">
        <f>FALSE()</f>
        <v>0</v>
      </c>
      <c r="J37" s="11" t="b">
        <f>FALSE()</f>
        <v>0</v>
      </c>
      <c r="K37" s="11" t="b">
        <f>FALSE()</f>
        <v>0</v>
      </c>
      <c r="L37" s="14" t="s">
        <v>117</v>
      </c>
      <c r="M37" s="11">
        <v>108</v>
      </c>
      <c r="N37" s="11">
        <v>49</v>
      </c>
      <c r="O37" s="11">
        <v>28</v>
      </c>
      <c r="P37" s="11">
        <v>0</v>
      </c>
      <c r="Q37" s="11">
        <v>0</v>
      </c>
      <c r="R37" s="11">
        <v>0</v>
      </c>
      <c r="S37" s="11">
        <v>0</v>
      </c>
      <c r="T37" s="11">
        <v>1</v>
      </c>
      <c r="U37" s="11" t="s">
        <v>110</v>
      </c>
    </row>
    <row r="38" spans="1:21" ht="15" customHeight="1" x14ac:dyDescent="0.2">
      <c r="A38" s="11" t="s">
        <v>250</v>
      </c>
      <c r="B38" s="11" t="s">
        <v>251</v>
      </c>
      <c r="C38" s="11" t="s">
        <v>252</v>
      </c>
      <c r="D38" s="11" t="s">
        <v>140</v>
      </c>
      <c r="E38" s="11" t="s">
        <v>142</v>
      </c>
      <c r="F38" s="11" t="s">
        <v>137</v>
      </c>
      <c r="G38" s="11" t="s">
        <v>232</v>
      </c>
      <c r="H38" s="11" t="b">
        <f>TRUE()</f>
        <v>1</v>
      </c>
      <c r="I38" s="11" t="b">
        <f>FALSE()</f>
        <v>0</v>
      </c>
      <c r="J38" s="11" t="b">
        <f>FALSE()</f>
        <v>0</v>
      </c>
      <c r="K38" s="11" t="b">
        <f>FALSE()</f>
        <v>0</v>
      </c>
      <c r="L38" s="14" t="s">
        <v>117</v>
      </c>
      <c r="M38" s="11">
        <v>109</v>
      </c>
      <c r="N38" s="11">
        <v>52</v>
      </c>
      <c r="O38" s="11">
        <v>27</v>
      </c>
      <c r="P38" s="11">
        <v>0</v>
      </c>
      <c r="Q38" s="11">
        <v>0</v>
      </c>
      <c r="R38" s="11">
        <v>0</v>
      </c>
      <c r="S38" s="11">
        <v>0</v>
      </c>
      <c r="T38" s="11">
        <v>1</v>
      </c>
      <c r="U38" s="11" t="s">
        <v>110</v>
      </c>
    </row>
    <row r="39" spans="1:21" ht="15" customHeight="1" x14ac:dyDescent="0.2">
      <c r="A39" s="11" t="s">
        <v>253</v>
      </c>
      <c r="B39" s="11" t="s">
        <v>254</v>
      </c>
      <c r="C39" s="11" t="s">
        <v>255</v>
      </c>
      <c r="D39" s="11" t="s">
        <v>140</v>
      </c>
      <c r="E39" s="11" t="s">
        <v>142</v>
      </c>
      <c r="F39" s="11" t="s">
        <v>137</v>
      </c>
      <c r="G39" s="11" t="s">
        <v>256</v>
      </c>
      <c r="H39" s="11" t="b">
        <f>TRUE()</f>
        <v>1</v>
      </c>
      <c r="I39" s="11" t="b">
        <f>FALSE()</f>
        <v>0</v>
      </c>
      <c r="J39" s="11" t="b">
        <f>FALSE()</f>
        <v>0</v>
      </c>
      <c r="K39" s="11" t="b">
        <f>FALSE()</f>
        <v>0</v>
      </c>
      <c r="L39" s="14" t="s">
        <v>117</v>
      </c>
      <c r="M39" s="11">
        <v>110</v>
      </c>
      <c r="N39" s="11">
        <v>53</v>
      </c>
      <c r="O39" s="11">
        <v>27</v>
      </c>
      <c r="P39" s="11">
        <v>0</v>
      </c>
      <c r="Q39" s="11">
        <v>0</v>
      </c>
      <c r="R39" s="11">
        <v>0</v>
      </c>
      <c r="S39" s="11">
        <v>0</v>
      </c>
      <c r="T39" s="11">
        <v>1</v>
      </c>
      <c r="U39" s="11" t="s">
        <v>110</v>
      </c>
    </row>
    <row r="40" spans="1:21" ht="15" customHeight="1" x14ac:dyDescent="0.2">
      <c r="A40" s="11" t="s">
        <v>257</v>
      </c>
      <c r="B40" s="11" t="s">
        <v>258</v>
      </c>
      <c r="C40" s="11" t="s">
        <v>259</v>
      </c>
      <c r="D40" s="11" t="s">
        <v>140</v>
      </c>
      <c r="E40" s="11" t="s">
        <v>142</v>
      </c>
      <c r="F40" s="11" t="s">
        <v>137</v>
      </c>
      <c r="G40" s="11" t="s">
        <v>143</v>
      </c>
      <c r="H40" s="11" t="b">
        <f>TRUE()</f>
        <v>1</v>
      </c>
      <c r="I40" s="11" t="b">
        <f>FALSE()</f>
        <v>0</v>
      </c>
      <c r="J40" s="11" t="b">
        <f>FALSE()</f>
        <v>0</v>
      </c>
      <c r="K40" s="11" t="b">
        <f>FALSE()</f>
        <v>0</v>
      </c>
      <c r="L40" s="14" t="s">
        <v>117</v>
      </c>
      <c r="M40" s="11">
        <v>111</v>
      </c>
      <c r="N40" s="11">
        <v>56</v>
      </c>
      <c r="O40" s="11">
        <v>27</v>
      </c>
      <c r="P40" s="11">
        <v>0</v>
      </c>
      <c r="Q40" s="11">
        <v>0</v>
      </c>
      <c r="R40" s="11">
        <v>0</v>
      </c>
      <c r="S40" s="11">
        <v>0</v>
      </c>
      <c r="T40" s="11">
        <v>1</v>
      </c>
      <c r="U40" s="11" t="s">
        <v>110</v>
      </c>
    </row>
    <row r="41" spans="1:21" ht="15" customHeight="1" x14ac:dyDescent="0.2">
      <c r="A41" s="11" t="s">
        <v>260</v>
      </c>
      <c r="B41" s="11" t="s">
        <v>261</v>
      </c>
      <c r="C41" s="11" t="s">
        <v>261</v>
      </c>
      <c r="D41" s="11" t="s">
        <v>140</v>
      </c>
      <c r="E41" s="11" t="s">
        <v>142</v>
      </c>
      <c r="F41" s="11" t="s">
        <v>137</v>
      </c>
      <c r="G41" s="11" t="s">
        <v>143</v>
      </c>
      <c r="H41" s="11" t="b">
        <f>TRUE()</f>
        <v>1</v>
      </c>
      <c r="I41" s="11" t="b">
        <f>FALSE()</f>
        <v>0</v>
      </c>
      <c r="J41" s="11" t="b">
        <f>FALSE()</f>
        <v>0</v>
      </c>
      <c r="K41" s="11" t="b">
        <f>FALSE()</f>
        <v>0</v>
      </c>
      <c r="L41" s="14" t="s">
        <v>117</v>
      </c>
      <c r="M41" s="11">
        <v>112</v>
      </c>
      <c r="N41" s="11">
        <v>65</v>
      </c>
      <c r="O41" s="11">
        <v>27</v>
      </c>
      <c r="P41" s="11">
        <v>0</v>
      </c>
      <c r="Q41" s="11">
        <v>0</v>
      </c>
      <c r="R41" s="11">
        <v>0</v>
      </c>
      <c r="S41" s="11">
        <v>0</v>
      </c>
      <c r="T41" s="11">
        <v>1</v>
      </c>
      <c r="U41" s="11" t="s">
        <v>110</v>
      </c>
    </row>
    <row r="42" spans="1:21" ht="15" customHeight="1" x14ac:dyDescent="0.2">
      <c r="A42" s="11" t="s">
        <v>262</v>
      </c>
      <c r="B42" s="11" t="s">
        <v>263</v>
      </c>
      <c r="C42" s="11" t="s">
        <v>264</v>
      </c>
      <c r="D42" s="11" t="s">
        <v>140</v>
      </c>
      <c r="E42" s="11" t="s">
        <v>142</v>
      </c>
      <c r="F42" s="11" t="s">
        <v>137</v>
      </c>
      <c r="G42" s="11" t="s">
        <v>143</v>
      </c>
      <c r="H42" s="11" t="b">
        <f>TRUE()</f>
        <v>1</v>
      </c>
      <c r="I42" s="11" t="b">
        <f>FALSE()</f>
        <v>0</v>
      </c>
      <c r="J42" s="11" t="b">
        <f>FALSE()</f>
        <v>0</v>
      </c>
      <c r="K42" s="11" t="b">
        <f>FALSE()</f>
        <v>0</v>
      </c>
      <c r="L42" s="14" t="s">
        <v>117</v>
      </c>
      <c r="M42" s="11">
        <v>113</v>
      </c>
      <c r="N42" s="11">
        <v>59</v>
      </c>
      <c r="O42" s="11">
        <v>27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11" t="s">
        <v>110</v>
      </c>
    </row>
    <row r="43" spans="1:21" ht="15" customHeight="1" x14ac:dyDescent="0.2">
      <c r="A43" s="11" t="s">
        <v>265</v>
      </c>
      <c r="B43" s="11" t="s">
        <v>266</v>
      </c>
      <c r="C43" s="11" t="s">
        <v>267</v>
      </c>
      <c r="D43" s="11" t="s">
        <v>140</v>
      </c>
      <c r="E43" s="11" t="s">
        <v>142</v>
      </c>
      <c r="F43" s="11" t="s">
        <v>137</v>
      </c>
      <c r="G43" s="11" t="s">
        <v>143</v>
      </c>
      <c r="H43" s="11" t="b">
        <f>TRUE()</f>
        <v>1</v>
      </c>
      <c r="I43" s="11" t="b">
        <f>TRUE()</f>
        <v>1</v>
      </c>
      <c r="J43" s="11" t="b">
        <f>FALSE()</f>
        <v>0</v>
      </c>
      <c r="K43" s="11" t="b">
        <f>FALSE()</f>
        <v>0</v>
      </c>
      <c r="L43" s="14" t="s">
        <v>117</v>
      </c>
      <c r="M43" s="11">
        <v>120</v>
      </c>
      <c r="N43" s="11">
        <v>61</v>
      </c>
      <c r="O43" s="11">
        <v>138</v>
      </c>
      <c r="P43" s="11">
        <v>0</v>
      </c>
      <c r="Q43" s="11">
        <v>0</v>
      </c>
      <c r="R43" s="11">
        <v>0</v>
      </c>
      <c r="S43" s="11">
        <v>0</v>
      </c>
      <c r="T43" s="11">
        <v>1</v>
      </c>
      <c r="U43" s="11" t="s">
        <v>110</v>
      </c>
    </row>
    <row r="44" spans="1:21" ht="15" customHeight="1" x14ac:dyDescent="0.2">
      <c r="A44" s="11" t="s">
        <v>268</v>
      </c>
      <c r="B44" s="11" t="s">
        <v>269</v>
      </c>
      <c r="C44" s="11" t="s">
        <v>270</v>
      </c>
      <c r="D44" s="11" t="s">
        <v>271</v>
      </c>
      <c r="E44" s="11" t="s">
        <v>225</v>
      </c>
      <c r="F44" s="11" t="s">
        <v>272</v>
      </c>
      <c r="G44" s="11" t="s">
        <v>273</v>
      </c>
      <c r="H44" s="11" t="b">
        <f>TRUE()</f>
        <v>1</v>
      </c>
      <c r="I44" s="11" t="b">
        <f>FALSE()</f>
        <v>0</v>
      </c>
      <c r="J44" s="11" t="b">
        <f>FALSE()</f>
        <v>0</v>
      </c>
      <c r="K44" s="11" t="b">
        <f>FALSE()</f>
        <v>0</v>
      </c>
      <c r="L44" s="14" t="s">
        <v>117</v>
      </c>
      <c r="M44" s="11">
        <v>999</v>
      </c>
      <c r="N44" s="11">
        <v>50</v>
      </c>
      <c r="O44" s="11">
        <v>22</v>
      </c>
      <c r="P44" s="11">
        <v>0</v>
      </c>
      <c r="Q44" s="11">
        <v>0</v>
      </c>
      <c r="R44" s="11">
        <v>0</v>
      </c>
      <c r="S44" s="11">
        <v>0</v>
      </c>
      <c r="T44" s="11">
        <v>1</v>
      </c>
      <c r="U44" s="11" t="s">
        <v>110</v>
      </c>
    </row>
  </sheetData>
  <autoFilter ref="A1:U44" xr:uid="{00000000-0009-0000-0000-000001000000}"/>
  <conditionalFormatting sqref="U2:U44">
    <cfRule type="expression" dxfId="2" priority="2">
      <formula>LEN($U2)&gt;0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32" customWidth="1"/>
    <col min="3" max="3" width="6" customWidth="1"/>
    <col min="4" max="4" width="14" customWidth="1"/>
    <col min="5" max="5" width="28" customWidth="1"/>
    <col min="6" max="6" width="16" customWidth="1"/>
    <col min="7" max="8" width="12" customWidth="1"/>
    <col min="9" max="9" width="36" customWidth="1"/>
    <col min="10" max="11" width="10" customWidth="1"/>
    <col min="12" max="12" width="12" customWidth="1"/>
    <col min="13" max="14" width="28" customWidth="1"/>
    <col min="15" max="15" width="12" customWidth="1"/>
    <col min="16" max="16" width="18" customWidth="1"/>
    <col min="17" max="17" width="60" customWidth="1"/>
  </cols>
  <sheetData>
    <row r="1" spans="1:17" ht="21.75" customHeight="1" x14ac:dyDescent="0.2">
      <c r="A1" s="10" t="s">
        <v>81</v>
      </c>
      <c r="B1" s="10" t="s">
        <v>82</v>
      </c>
      <c r="C1" s="10" t="s">
        <v>274</v>
      </c>
      <c r="D1" s="10" t="s">
        <v>275</v>
      </c>
      <c r="E1" s="10" t="s">
        <v>276</v>
      </c>
      <c r="F1" s="10" t="s">
        <v>84</v>
      </c>
      <c r="G1" s="10" t="s">
        <v>277</v>
      </c>
      <c r="H1" s="10" t="s">
        <v>278</v>
      </c>
      <c r="I1" s="10" t="s">
        <v>279</v>
      </c>
      <c r="J1" s="10" t="s">
        <v>280</v>
      </c>
      <c r="K1" s="10" t="s">
        <v>281</v>
      </c>
      <c r="L1" s="10" t="s">
        <v>282</v>
      </c>
      <c r="M1" s="10" t="s">
        <v>283</v>
      </c>
      <c r="N1" s="10" t="s">
        <v>284</v>
      </c>
      <c r="O1" s="10" t="s">
        <v>93</v>
      </c>
      <c r="P1" s="10" t="s">
        <v>99</v>
      </c>
      <c r="Q1" s="10" t="s">
        <v>285</v>
      </c>
    </row>
    <row r="2" spans="1:17" ht="15" customHeight="1" x14ac:dyDescent="0.2">
      <c r="A2" s="11" t="s">
        <v>286</v>
      </c>
      <c r="B2" s="11" t="s">
        <v>287</v>
      </c>
      <c r="C2" s="11"/>
      <c r="D2" s="11" t="s">
        <v>288</v>
      </c>
      <c r="E2" s="11" t="s">
        <v>289</v>
      </c>
      <c r="F2" s="11"/>
      <c r="G2" s="11"/>
      <c r="H2" s="11"/>
      <c r="I2" s="11"/>
      <c r="J2" s="11"/>
      <c r="K2" s="11"/>
      <c r="L2" s="11" t="s">
        <v>290</v>
      </c>
      <c r="M2" s="11"/>
      <c r="N2" s="11"/>
      <c r="O2" s="11">
        <v>840</v>
      </c>
      <c r="P2" s="11">
        <v>0</v>
      </c>
      <c r="Q2" s="11" t="s">
        <v>291</v>
      </c>
    </row>
    <row r="3" spans="1:17" ht="15" customHeight="1" x14ac:dyDescent="0.2">
      <c r="A3" s="11" t="s">
        <v>292</v>
      </c>
      <c r="B3" s="11" t="s">
        <v>293</v>
      </c>
      <c r="C3" s="11"/>
      <c r="D3" s="11" t="s">
        <v>294</v>
      </c>
      <c r="E3" s="11" t="s">
        <v>289</v>
      </c>
      <c r="F3" s="11"/>
      <c r="G3" s="11"/>
      <c r="H3" s="11"/>
      <c r="I3" s="11"/>
      <c r="J3" s="11"/>
      <c r="K3" s="11"/>
      <c r="L3" s="11" t="s">
        <v>290</v>
      </c>
      <c r="M3" s="11"/>
      <c r="N3" s="11"/>
      <c r="O3" s="11">
        <v>841</v>
      </c>
      <c r="P3" s="11">
        <v>0</v>
      </c>
      <c r="Q3" s="11" t="s">
        <v>291</v>
      </c>
    </row>
    <row r="4" spans="1:17" ht="15" customHeight="1" x14ac:dyDescent="0.2">
      <c r="A4" s="11" t="s">
        <v>295</v>
      </c>
      <c r="B4" s="11" t="s">
        <v>296</v>
      </c>
      <c r="C4" s="11"/>
      <c r="D4" s="11" t="s">
        <v>294</v>
      </c>
      <c r="E4" s="11" t="s">
        <v>289</v>
      </c>
      <c r="F4" s="11"/>
      <c r="G4" s="11"/>
      <c r="H4" s="11"/>
      <c r="I4" s="11"/>
      <c r="J4" s="11"/>
      <c r="K4" s="11"/>
      <c r="L4" s="11" t="s">
        <v>290</v>
      </c>
      <c r="M4" s="11"/>
      <c r="N4" s="11"/>
      <c r="O4" s="11">
        <v>842</v>
      </c>
      <c r="P4" s="11">
        <v>0</v>
      </c>
      <c r="Q4" s="11" t="s">
        <v>291</v>
      </c>
    </row>
    <row r="5" spans="1:17" ht="15" customHeight="1" x14ac:dyDescent="0.2">
      <c r="A5" s="11" t="s">
        <v>297</v>
      </c>
      <c r="B5" s="11" t="s">
        <v>298</v>
      </c>
      <c r="C5" s="11"/>
      <c r="D5" s="11" t="s">
        <v>288</v>
      </c>
      <c r="E5" s="11" t="s">
        <v>289</v>
      </c>
      <c r="F5" s="11"/>
      <c r="G5" s="11"/>
      <c r="H5" s="11"/>
      <c r="I5" s="11"/>
      <c r="J5" s="11"/>
      <c r="K5" s="11"/>
      <c r="L5" s="11" t="s">
        <v>290</v>
      </c>
      <c r="M5" s="11"/>
      <c r="N5" s="11"/>
      <c r="O5" s="11">
        <v>843</v>
      </c>
      <c r="P5" s="11">
        <v>0</v>
      </c>
      <c r="Q5" s="11" t="s">
        <v>291</v>
      </c>
    </row>
    <row r="6" spans="1:17" ht="15" customHeight="1" x14ac:dyDescent="0.2">
      <c r="A6" s="11" t="s">
        <v>299</v>
      </c>
      <c r="B6" s="11" t="s">
        <v>300</v>
      </c>
      <c r="C6" s="11"/>
      <c r="D6" s="11" t="s">
        <v>301</v>
      </c>
      <c r="E6" s="11" t="s">
        <v>289</v>
      </c>
      <c r="F6" s="11"/>
      <c r="G6" s="11"/>
      <c r="H6" s="11"/>
      <c r="I6" s="11"/>
      <c r="J6" s="11"/>
      <c r="K6" s="11"/>
      <c r="L6" s="11" t="s">
        <v>290</v>
      </c>
      <c r="M6" s="11"/>
      <c r="N6" s="11"/>
      <c r="O6" s="11">
        <v>844</v>
      </c>
      <c r="P6" s="11">
        <v>0</v>
      </c>
      <c r="Q6" s="11" t="s">
        <v>291</v>
      </c>
    </row>
    <row r="7" spans="1:17" ht="15" customHeight="1" x14ac:dyDescent="0.2">
      <c r="A7" s="11" t="s">
        <v>302</v>
      </c>
      <c r="B7" s="11" t="s">
        <v>303</v>
      </c>
      <c r="C7" s="11"/>
      <c r="D7" s="11" t="s">
        <v>294</v>
      </c>
      <c r="E7" s="11" t="s">
        <v>289</v>
      </c>
      <c r="F7" s="11"/>
      <c r="G7" s="11"/>
      <c r="H7" s="11"/>
      <c r="I7" s="11"/>
      <c r="J7" s="11"/>
      <c r="K7" s="11"/>
      <c r="L7" s="11" t="s">
        <v>290</v>
      </c>
      <c r="M7" s="11"/>
      <c r="N7" s="11"/>
      <c r="O7" s="11">
        <v>845</v>
      </c>
      <c r="P7" s="11">
        <v>0</v>
      </c>
      <c r="Q7" s="11" t="s">
        <v>291</v>
      </c>
    </row>
    <row r="8" spans="1:17" ht="15" customHeight="1" x14ac:dyDescent="0.2">
      <c r="A8" s="11" t="s">
        <v>304</v>
      </c>
      <c r="B8" s="11" t="s">
        <v>305</v>
      </c>
      <c r="C8" s="11"/>
      <c r="D8" s="11" t="s">
        <v>294</v>
      </c>
      <c r="E8" s="11" t="s">
        <v>289</v>
      </c>
      <c r="F8" s="11"/>
      <c r="G8" s="11"/>
      <c r="H8" s="11"/>
      <c r="I8" s="11"/>
      <c r="J8" s="11"/>
      <c r="K8" s="11"/>
      <c r="L8" s="11" t="s">
        <v>290</v>
      </c>
      <c r="M8" s="11"/>
      <c r="N8" s="11"/>
      <c r="O8" s="11">
        <v>846</v>
      </c>
      <c r="P8" s="11">
        <v>0</v>
      </c>
      <c r="Q8" s="11" t="s">
        <v>291</v>
      </c>
    </row>
    <row r="9" spans="1:17" ht="15" customHeight="1" x14ac:dyDescent="0.2">
      <c r="A9" s="11" t="s">
        <v>306</v>
      </c>
      <c r="B9" s="11" t="s">
        <v>307</v>
      </c>
      <c r="C9" s="11"/>
      <c r="D9" s="11" t="s">
        <v>288</v>
      </c>
      <c r="E9" s="11" t="s">
        <v>289</v>
      </c>
      <c r="F9" s="11"/>
      <c r="G9" s="11"/>
      <c r="H9" s="11"/>
      <c r="I9" s="11"/>
      <c r="J9" s="11"/>
      <c r="K9" s="11"/>
      <c r="L9" s="11" t="s">
        <v>290</v>
      </c>
      <c r="M9" s="11"/>
      <c r="N9" s="11"/>
      <c r="O9" s="11">
        <v>847</v>
      </c>
      <c r="P9" s="11">
        <v>0</v>
      </c>
      <c r="Q9" s="11" t="s">
        <v>291</v>
      </c>
    </row>
    <row r="10" spans="1:17" ht="15" customHeight="1" x14ac:dyDescent="0.2">
      <c r="A10" s="11" t="s">
        <v>308</v>
      </c>
      <c r="B10" s="11" t="s">
        <v>309</v>
      </c>
      <c r="C10" s="11"/>
      <c r="D10" s="11" t="s">
        <v>288</v>
      </c>
      <c r="E10" s="11" t="s">
        <v>310</v>
      </c>
      <c r="F10" s="11"/>
      <c r="G10" s="11"/>
      <c r="H10" s="11"/>
      <c r="I10" s="11"/>
      <c r="J10" s="11"/>
      <c r="K10" s="11"/>
      <c r="L10" s="11" t="s">
        <v>290</v>
      </c>
      <c r="M10" s="11"/>
      <c r="N10" s="11"/>
      <c r="O10" s="11">
        <v>930</v>
      </c>
      <c r="P10" s="11">
        <v>0</v>
      </c>
      <c r="Q10" s="11" t="s">
        <v>291</v>
      </c>
    </row>
    <row r="11" spans="1:17" ht="15" customHeight="1" x14ac:dyDescent="0.2">
      <c r="A11" s="11" t="s">
        <v>311</v>
      </c>
      <c r="B11" s="11" t="s">
        <v>312</v>
      </c>
      <c r="C11" s="11"/>
      <c r="D11" s="11" t="s">
        <v>294</v>
      </c>
      <c r="E11" s="11" t="s">
        <v>310</v>
      </c>
      <c r="F11" s="11"/>
      <c r="G11" s="11"/>
      <c r="H11" s="11"/>
      <c r="I11" s="11"/>
      <c r="J11" s="11"/>
      <c r="K11" s="11"/>
      <c r="L11" s="11" t="s">
        <v>290</v>
      </c>
      <c r="M11" s="11"/>
      <c r="N11" s="11"/>
      <c r="O11" s="11">
        <v>931</v>
      </c>
      <c r="P11" s="11">
        <v>0</v>
      </c>
      <c r="Q11" s="11" t="s">
        <v>291</v>
      </c>
    </row>
    <row r="12" spans="1:17" ht="15" customHeight="1" x14ac:dyDescent="0.2">
      <c r="A12" s="11" t="s">
        <v>313</v>
      </c>
      <c r="B12" s="11" t="s">
        <v>314</v>
      </c>
      <c r="C12" s="11"/>
      <c r="D12" s="11" t="s">
        <v>315</v>
      </c>
      <c r="E12" s="11" t="s">
        <v>310</v>
      </c>
      <c r="F12" s="11"/>
      <c r="G12" s="11"/>
      <c r="H12" s="11"/>
      <c r="I12" s="11"/>
      <c r="J12" s="11"/>
      <c r="K12" s="11"/>
      <c r="L12" s="11" t="s">
        <v>290</v>
      </c>
      <c r="M12" s="11"/>
      <c r="N12" s="11"/>
      <c r="O12" s="11">
        <v>932</v>
      </c>
      <c r="P12" s="11">
        <v>0</v>
      </c>
      <c r="Q12" s="11" t="s">
        <v>291</v>
      </c>
    </row>
    <row r="13" spans="1:17" ht="15" customHeight="1" x14ac:dyDescent="0.2">
      <c r="A13" s="11" t="s">
        <v>316</v>
      </c>
      <c r="B13" s="11" t="s">
        <v>317</v>
      </c>
      <c r="C13" s="11"/>
      <c r="D13" s="11" t="s">
        <v>294</v>
      </c>
      <c r="E13" s="11" t="s">
        <v>310</v>
      </c>
      <c r="F13" s="11"/>
      <c r="G13" s="11"/>
      <c r="H13" s="11"/>
      <c r="I13" s="11"/>
      <c r="J13" s="11"/>
      <c r="K13" s="11"/>
      <c r="L13" s="11" t="s">
        <v>290</v>
      </c>
      <c r="M13" s="11"/>
      <c r="N13" s="11"/>
      <c r="O13" s="11">
        <v>933</v>
      </c>
      <c r="P13" s="11">
        <v>0</v>
      </c>
      <c r="Q13" s="11" t="s">
        <v>291</v>
      </c>
    </row>
    <row r="14" spans="1:17" ht="15" customHeight="1" x14ac:dyDescent="0.2">
      <c r="A14" s="11" t="s">
        <v>318</v>
      </c>
      <c r="B14" s="11" t="s">
        <v>319</v>
      </c>
      <c r="C14" s="11"/>
      <c r="D14" s="11" t="s">
        <v>294</v>
      </c>
      <c r="E14" s="11" t="s">
        <v>310</v>
      </c>
      <c r="F14" s="11"/>
      <c r="G14" s="11"/>
      <c r="H14" s="11"/>
      <c r="I14" s="11"/>
      <c r="J14" s="11"/>
      <c r="K14" s="11"/>
      <c r="L14" s="11" t="s">
        <v>290</v>
      </c>
      <c r="M14" s="11"/>
      <c r="N14" s="11"/>
      <c r="O14" s="11">
        <v>934</v>
      </c>
      <c r="P14" s="11">
        <v>0</v>
      </c>
      <c r="Q14" s="11" t="s">
        <v>291</v>
      </c>
    </row>
    <row r="15" spans="1:17" ht="15" customHeight="1" x14ac:dyDescent="0.2">
      <c r="A15" s="11" t="s">
        <v>320</v>
      </c>
      <c r="B15" s="11" t="s">
        <v>321</v>
      </c>
      <c r="C15" s="11"/>
      <c r="D15" s="11" t="s">
        <v>288</v>
      </c>
      <c r="E15" s="11" t="s">
        <v>165</v>
      </c>
      <c r="F15" s="11"/>
      <c r="G15" s="11"/>
      <c r="H15" s="11"/>
      <c r="I15" s="11"/>
      <c r="J15" s="11"/>
      <c r="K15" s="11"/>
      <c r="L15" s="11" t="s">
        <v>290</v>
      </c>
      <c r="M15" s="11"/>
      <c r="N15" s="11"/>
      <c r="O15" s="11">
        <v>510</v>
      </c>
      <c r="P15" s="11">
        <v>0</v>
      </c>
      <c r="Q15" s="11" t="s">
        <v>291</v>
      </c>
    </row>
    <row r="16" spans="1:17" ht="15" customHeight="1" x14ac:dyDescent="0.2">
      <c r="A16" s="11" t="s">
        <v>322</v>
      </c>
      <c r="B16" s="11" t="s">
        <v>323</v>
      </c>
      <c r="C16" s="11"/>
      <c r="D16" s="11" t="s">
        <v>288</v>
      </c>
      <c r="E16" s="11" t="s">
        <v>165</v>
      </c>
      <c r="F16" s="11"/>
      <c r="G16" s="11"/>
      <c r="H16" s="11"/>
      <c r="I16" s="11"/>
      <c r="J16" s="11"/>
      <c r="K16" s="11"/>
      <c r="L16" s="11" t="s">
        <v>290</v>
      </c>
      <c r="M16" s="11"/>
      <c r="N16" s="11"/>
      <c r="O16" s="11">
        <v>511</v>
      </c>
      <c r="P16" s="11">
        <v>0</v>
      </c>
      <c r="Q16" s="11" t="s">
        <v>291</v>
      </c>
    </row>
    <row r="17" spans="1:17" ht="15" customHeight="1" x14ac:dyDescent="0.2">
      <c r="A17" s="11" t="s">
        <v>324</v>
      </c>
      <c r="B17" s="11" t="s">
        <v>325</v>
      </c>
      <c r="C17" s="11"/>
      <c r="D17" s="11" t="s">
        <v>288</v>
      </c>
      <c r="E17" s="11" t="s">
        <v>165</v>
      </c>
      <c r="F17" s="11"/>
      <c r="G17" s="11"/>
      <c r="H17" s="11"/>
      <c r="I17" s="11"/>
      <c r="J17" s="11"/>
      <c r="K17" s="11"/>
      <c r="L17" s="11" t="s">
        <v>290</v>
      </c>
      <c r="M17" s="11"/>
      <c r="N17" s="11"/>
      <c r="O17" s="11">
        <v>512</v>
      </c>
      <c r="P17" s="11">
        <v>0</v>
      </c>
      <c r="Q17" s="11" t="s">
        <v>291</v>
      </c>
    </row>
    <row r="18" spans="1:17" ht="15" customHeight="1" x14ac:dyDescent="0.2">
      <c r="A18" s="11" t="s">
        <v>326</v>
      </c>
      <c r="B18" s="11" t="s">
        <v>327</v>
      </c>
      <c r="C18" s="11"/>
      <c r="D18" s="11" t="s">
        <v>294</v>
      </c>
      <c r="E18" s="11" t="s">
        <v>165</v>
      </c>
      <c r="F18" s="11"/>
      <c r="G18" s="11"/>
      <c r="H18" s="11"/>
      <c r="I18" s="11"/>
      <c r="J18" s="11"/>
      <c r="K18" s="11"/>
      <c r="L18" s="11" t="s">
        <v>290</v>
      </c>
      <c r="M18" s="11"/>
      <c r="N18" s="11"/>
      <c r="O18" s="11">
        <v>513</v>
      </c>
      <c r="P18" s="11">
        <v>0</v>
      </c>
      <c r="Q18" s="11" t="s">
        <v>291</v>
      </c>
    </row>
    <row r="19" spans="1:17" ht="15" customHeight="1" x14ac:dyDescent="0.2">
      <c r="A19" s="11" t="s">
        <v>328</v>
      </c>
      <c r="B19" s="11" t="s">
        <v>329</v>
      </c>
      <c r="C19" s="11"/>
      <c r="D19" s="11" t="s">
        <v>288</v>
      </c>
      <c r="E19" s="11" t="s">
        <v>330</v>
      </c>
      <c r="F19" s="11"/>
      <c r="G19" s="11"/>
      <c r="H19" s="11"/>
      <c r="I19" s="11"/>
      <c r="J19" s="11"/>
      <c r="K19" s="11"/>
      <c r="L19" s="11" t="s">
        <v>290</v>
      </c>
      <c r="M19" s="11"/>
      <c r="N19" s="11"/>
      <c r="O19" s="11">
        <v>940</v>
      </c>
      <c r="P19" s="11">
        <v>0</v>
      </c>
      <c r="Q19" s="11" t="s">
        <v>291</v>
      </c>
    </row>
    <row r="20" spans="1:17" ht="15" customHeight="1" x14ac:dyDescent="0.2">
      <c r="A20" s="11" t="s">
        <v>331</v>
      </c>
      <c r="B20" s="11" t="s">
        <v>332</v>
      </c>
      <c r="C20" s="11"/>
      <c r="D20" s="11" t="s">
        <v>288</v>
      </c>
      <c r="E20" s="11" t="s">
        <v>330</v>
      </c>
      <c r="F20" s="11"/>
      <c r="G20" s="11"/>
      <c r="H20" s="11"/>
      <c r="I20" s="11"/>
      <c r="J20" s="11"/>
      <c r="K20" s="11"/>
      <c r="L20" s="11" t="s">
        <v>290</v>
      </c>
      <c r="M20" s="11"/>
      <c r="N20" s="11"/>
      <c r="O20" s="11">
        <v>941</v>
      </c>
      <c r="P20" s="11">
        <v>0</v>
      </c>
      <c r="Q20" s="11" t="s">
        <v>291</v>
      </c>
    </row>
    <row r="21" spans="1:17" ht="15" customHeight="1" x14ac:dyDescent="0.2">
      <c r="A21" s="11" t="s">
        <v>333</v>
      </c>
      <c r="B21" s="11" t="s">
        <v>334</v>
      </c>
      <c r="C21" s="11"/>
      <c r="D21" s="11" t="s">
        <v>294</v>
      </c>
      <c r="E21" s="11" t="s">
        <v>330</v>
      </c>
      <c r="F21" s="11"/>
      <c r="G21" s="11"/>
      <c r="H21" s="11"/>
      <c r="I21" s="11"/>
      <c r="J21" s="11"/>
      <c r="K21" s="11"/>
      <c r="L21" s="11" t="s">
        <v>290</v>
      </c>
      <c r="M21" s="11"/>
      <c r="N21" s="11"/>
      <c r="O21" s="11">
        <v>942</v>
      </c>
      <c r="P21" s="11">
        <v>0</v>
      </c>
      <c r="Q21" s="11" t="s">
        <v>291</v>
      </c>
    </row>
    <row r="22" spans="1:17" ht="15" customHeight="1" x14ac:dyDescent="0.2">
      <c r="A22" s="11" t="s">
        <v>335</v>
      </c>
      <c r="B22" s="11" t="s">
        <v>336</v>
      </c>
      <c r="C22" s="11"/>
      <c r="D22" s="11" t="s">
        <v>294</v>
      </c>
      <c r="E22" s="11" t="s">
        <v>330</v>
      </c>
      <c r="F22" s="11"/>
      <c r="G22" s="11"/>
      <c r="H22" s="11"/>
      <c r="I22" s="11"/>
      <c r="J22" s="11"/>
      <c r="K22" s="11"/>
      <c r="L22" s="11" t="s">
        <v>290</v>
      </c>
      <c r="M22" s="11"/>
      <c r="N22" s="11"/>
      <c r="O22" s="11">
        <v>943</v>
      </c>
      <c r="P22" s="11">
        <v>0</v>
      </c>
      <c r="Q22" s="11" t="s">
        <v>291</v>
      </c>
    </row>
    <row r="23" spans="1:17" ht="15" customHeight="1" x14ac:dyDescent="0.2">
      <c r="A23" s="11" t="s">
        <v>337</v>
      </c>
      <c r="B23" s="11" t="s">
        <v>338</v>
      </c>
      <c r="C23" s="11"/>
      <c r="D23" s="11" t="s">
        <v>288</v>
      </c>
      <c r="E23" s="11" t="s">
        <v>330</v>
      </c>
      <c r="F23" s="11"/>
      <c r="G23" s="11"/>
      <c r="H23" s="11"/>
      <c r="I23" s="11"/>
      <c r="J23" s="11"/>
      <c r="K23" s="11"/>
      <c r="L23" s="11" t="s">
        <v>290</v>
      </c>
      <c r="M23" s="11"/>
      <c r="N23" s="11"/>
      <c r="O23" s="11">
        <v>944</v>
      </c>
      <c r="P23" s="11">
        <v>0</v>
      </c>
      <c r="Q23" s="11" t="s">
        <v>291</v>
      </c>
    </row>
    <row r="24" spans="1:17" ht="15" customHeight="1" x14ac:dyDescent="0.2">
      <c r="A24" s="11" t="s">
        <v>339</v>
      </c>
      <c r="B24" s="11" t="s">
        <v>340</v>
      </c>
      <c r="C24" s="11"/>
      <c r="D24" s="11" t="s">
        <v>341</v>
      </c>
      <c r="E24" s="11" t="s">
        <v>111</v>
      </c>
      <c r="F24" s="11"/>
      <c r="G24" s="11"/>
      <c r="H24" s="11"/>
      <c r="I24" s="11"/>
      <c r="J24" s="11"/>
      <c r="K24" s="11"/>
      <c r="L24" s="11" t="s">
        <v>290</v>
      </c>
      <c r="M24" s="11"/>
      <c r="N24" s="11"/>
      <c r="O24" s="11">
        <v>120</v>
      </c>
      <c r="P24" s="11">
        <v>10</v>
      </c>
      <c r="Q24" s="11" t="s">
        <v>291</v>
      </c>
    </row>
    <row r="25" spans="1:17" ht="15" customHeight="1" x14ac:dyDescent="0.2">
      <c r="A25" s="11" t="s">
        <v>342</v>
      </c>
      <c r="B25" s="11" t="s">
        <v>343</v>
      </c>
      <c r="C25" s="11"/>
      <c r="D25" s="11" t="s">
        <v>341</v>
      </c>
      <c r="E25" s="11" t="s">
        <v>111</v>
      </c>
      <c r="F25" s="11"/>
      <c r="G25" s="11"/>
      <c r="H25" s="11"/>
      <c r="I25" s="11"/>
      <c r="J25" s="11"/>
      <c r="K25" s="11"/>
      <c r="L25" s="11" t="s">
        <v>290</v>
      </c>
      <c r="M25" s="11"/>
      <c r="N25" s="11"/>
      <c r="O25" s="11">
        <v>121</v>
      </c>
      <c r="P25" s="11">
        <v>8</v>
      </c>
      <c r="Q25" s="11" t="s">
        <v>291</v>
      </c>
    </row>
    <row r="26" spans="1:17" ht="15" customHeight="1" x14ac:dyDescent="0.2">
      <c r="A26" s="11" t="s">
        <v>344</v>
      </c>
      <c r="B26" s="11" t="s">
        <v>345</v>
      </c>
      <c r="C26" s="11"/>
      <c r="D26" s="11" t="s">
        <v>346</v>
      </c>
      <c r="E26" s="11" t="s">
        <v>111</v>
      </c>
      <c r="F26" s="11"/>
      <c r="G26" s="11"/>
      <c r="H26" s="11"/>
      <c r="I26" s="11"/>
      <c r="J26" s="11"/>
      <c r="K26" s="11"/>
      <c r="L26" s="11" t="s">
        <v>290</v>
      </c>
      <c r="M26" s="11"/>
      <c r="N26" s="11"/>
      <c r="O26" s="11">
        <v>122</v>
      </c>
      <c r="P26" s="11">
        <v>0</v>
      </c>
      <c r="Q26" s="11" t="s">
        <v>291</v>
      </c>
    </row>
    <row r="27" spans="1:17" ht="15" customHeight="1" x14ac:dyDescent="0.2">
      <c r="A27" s="11" t="s">
        <v>347</v>
      </c>
      <c r="B27" s="11" t="s">
        <v>348</v>
      </c>
      <c r="C27" s="11"/>
      <c r="D27" s="11" t="s">
        <v>349</v>
      </c>
      <c r="E27" s="11" t="s">
        <v>111</v>
      </c>
      <c r="F27" s="11"/>
      <c r="G27" s="11"/>
      <c r="H27" s="11"/>
      <c r="I27" s="11"/>
      <c r="J27" s="11"/>
      <c r="K27" s="11"/>
      <c r="L27" s="11" t="s">
        <v>290</v>
      </c>
      <c r="M27" s="11"/>
      <c r="N27" s="11"/>
      <c r="O27" s="11">
        <v>130</v>
      </c>
      <c r="P27" s="11">
        <v>0</v>
      </c>
      <c r="Q27" s="11" t="s">
        <v>350</v>
      </c>
    </row>
    <row r="28" spans="1:17" ht="15" customHeight="1" x14ac:dyDescent="0.2">
      <c r="A28" s="11" t="s">
        <v>351</v>
      </c>
      <c r="B28" s="11" t="s">
        <v>352</v>
      </c>
      <c r="C28" s="11"/>
      <c r="D28" s="11" t="s">
        <v>288</v>
      </c>
      <c r="E28" s="11" t="s">
        <v>111</v>
      </c>
      <c r="F28" s="11"/>
      <c r="G28" s="11"/>
      <c r="H28" s="11"/>
      <c r="I28" s="11"/>
      <c r="J28" s="11"/>
      <c r="K28" s="11"/>
      <c r="L28" s="11" t="s">
        <v>290</v>
      </c>
      <c r="M28" s="11"/>
      <c r="N28" s="11"/>
      <c r="O28" s="11">
        <v>131</v>
      </c>
      <c r="P28" s="11">
        <v>0</v>
      </c>
      <c r="Q28" s="11" t="s">
        <v>291</v>
      </c>
    </row>
    <row r="29" spans="1:17" ht="15" customHeight="1" x14ac:dyDescent="0.2">
      <c r="A29" s="11" t="s">
        <v>353</v>
      </c>
      <c r="B29" s="11" t="s">
        <v>354</v>
      </c>
      <c r="C29" s="11"/>
      <c r="D29" s="11" t="s">
        <v>288</v>
      </c>
      <c r="E29" s="11" t="s">
        <v>111</v>
      </c>
      <c r="F29" s="11"/>
      <c r="G29" s="11"/>
      <c r="H29" s="11"/>
      <c r="I29" s="11"/>
      <c r="J29" s="11"/>
      <c r="K29" s="11"/>
      <c r="L29" s="11" t="s">
        <v>290</v>
      </c>
      <c r="M29" s="11"/>
      <c r="N29" s="11"/>
      <c r="O29" s="11">
        <v>132</v>
      </c>
      <c r="P29" s="11">
        <v>0</v>
      </c>
      <c r="Q29" s="11" t="s">
        <v>291</v>
      </c>
    </row>
    <row r="30" spans="1:17" ht="15" customHeight="1" x14ac:dyDescent="0.2">
      <c r="A30" s="11" t="s">
        <v>355</v>
      </c>
      <c r="B30" s="11" t="s">
        <v>356</v>
      </c>
      <c r="C30" s="11"/>
      <c r="D30" s="11" t="s">
        <v>288</v>
      </c>
      <c r="E30" s="11" t="s">
        <v>111</v>
      </c>
      <c r="F30" s="11"/>
      <c r="G30" s="11"/>
      <c r="H30" s="11"/>
      <c r="I30" s="11"/>
      <c r="J30" s="11"/>
      <c r="K30" s="11"/>
      <c r="L30" s="11" t="s">
        <v>290</v>
      </c>
      <c r="M30" s="11"/>
      <c r="N30" s="11"/>
      <c r="O30" s="11">
        <v>133</v>
      </c>
      <c r="P30" s="11">
        <v>0</v>
      </c>
      <c r="Q30" s="11" t="s">
        <v>291</v>
      </c>
    </row>
    <row r="31" spans="1:17" ht="15" customHeight="1" x14ac:dyDescent="0.2">
      <c r="A31" s="11" t="s">
        <v>357</v>
      </c>
      <c r="B31" s="11" t="s">
        <v>358</v>
      </c>
      <c r="C31" s="11"/>
      <c r="D31" s="11" t="s">
        <v>359</v>
      </c>
      <c r="E31" s="11" t="s">
        <v>111</v>
      </c>
      <c r="F31" s="11"/>
      <c r="G31" s="11"/>
      <c r="H31" s="11"/>
      <c r="I31" s="11"/>
      <c r="J31" s="11"/>
      <c r="K31" s="11"/>
      <c r="L31" s="11" t="s">
        <v>290</v>
      </c>
      <c r="M31" s="11"/>
      <c r="N31" s="11"/>
      <c r="O31" s="11">
        <v>134</v>
      </c>
      <c r="P31" s="11">
        <v>0</v>
      </c>
      <c r="Q31" s="11" t="s">
        <v>350</v>
      </c>
    </row>
    <row r="32" spans="1:17" ht="15" customHeight="1" x14ac:dyDescent="0.2">
      <c r="A32" s="11" t="s">
        <v>360</v>
      </c>
      <c r="B32" s="11" t="s">
        <v>361</v>
      </c>
      <c r="C32" s="11"/>
      <c r="D32" s="11" t="s">
        <v>359</v>
      </c>
      <c r="E32" s="11" t="s">
        <v>111</v>
      </c>
      <c r="F32" s="11"/>
      <c r="G32" s="11"/>
      <c r="H32" s="11"/>
      <c r="I32" s="11"/>
      <c r="J32" s="11"/>
      <c r="K32" s="11"/>
      <c r="L32" s="11" t="s">
        <v>290</v>
      </c>
      <c r="M32" s="11"/>
      <c r="N32" s="11"/>
      <c r="O32" s="11">
        <v>135</v>
      </c>
      <c r="P32" s="11">
        <v>0</v>
      </c>
      <c r="Q32" s="11" t="s">
        <v>350</v>
      </c>
    </row>
    <row r="33" spans="1:17" ht="15" customHeight="1" x14ac:dyDescent="0.2">
      <c r="A33" s="11" t="s">
        <v>362</v>
      </c>
      <c r="B33" s="11" t="s">
        <v>363</v>
      </c>
      <c r="C33" s="11"/>
      <c r="D33" s="11" t="s">
        <v>294</v>
      </c>
      <c r="E33" s="11" t="s">
        <v>111</v>
      </c>
      <c r="F33" s="11"/>
      <c r="G33" s="11"/>
      <c r="H33" s="11"/>
      <c r="I33" s="11"/>
      <c r="J33" s="11"/>
      <c r="K33" s="11"/>
      <c r="L33" s="11" t="s">
        <v>290</v>
      </c>
      <c r="M33" s="11"/>
      <c r="N33" s="11"/>
      <c r="O33" s="11">
        <v>140</v>
      </c>
      <c r="P33" s="11">
        <v>0</v>
      </c>
      <c r="Q33" s="11" t="s">
        <v>291</v>
      </c>
    </row>
    <row r="34" spans="1:17" ht="15" customHeight="1" x14ac:dyDescent="0.2">
      <c r="A34" s="11" t="s">
        <v>364</v>
      </c>
      <c r="B34" s="11" t="s">
        <v>365</v>
      </c>
      <c r="C34" s="11"/>
      <c r="D34" s="11" t="s">
        <v>294</v>
      </c>
      <c r="E34" s="11" t="s">
        <v>111</v>
      </c>
      <c r="F34" s="11"/>
      <c r="G34" s="11"/>
      <c r="H34" s="11"/>
      <c r="I34" s="11"/>
      <c r="J34" s="11"/>
      <c r="K34" s="11"/>
      <c r="L34" s="11" t="s">
        <v>290</v>
      </c>
      <c r="M34" s="11"/>
      <c r="N34" s="11"/>
      <c r="O34" s="11">
        <v>141</v>
      </c>
      <c r="P34" s="11">
        <v>0</v>
      </c>
      <c r="Q34" s="11" t="s">
        <v>291</v>
      </c>
    </row>
    <row r="35" spans="1:17" ht="15" customHeight="1" x14ac:dyDescent="0.2">
      <c r="A35" s="11" t="s">
        <v>366</v>
      </c>
      <c r="B35" s="11" t="s">
        <v>367</v>
      </c>
      <c r="C35" s="11"/>
      <c r="D35" s="11" t="s">
        <v>294</v>
      </c>
      <c r="E35" s="11" t="s">
        <v>111</v>
      </c>
      <c r="F35" s="11"/>
      <c r="G35" s="11"/>
      <c r="H35" s="11"/>
      <c r="I35" s="11"/>
      <c r="J35" s="11"/>
      <c r="K35" s="11"/>
      <c r="L35" s="11" t="s">
        <v>290</v>
      </c>
      <c r="M35" s="11"/>
      <c r="N35" s="11"/>
      <c r="O35" s="11">
        <v>142</v>
      </c>
      <c r="P35" s="11">
        <v>0</v>
      </c>
      <c r="Q35" s="11" t="s">
        <v>291</v>
      </c>
    </row>
    <row r="36" spans="1:17" ht="15" customHeight="1" x14ac:dyDescent="0.2">
      <c r="A36" s="11" t="s">
        <v>368</v>
      </c>
      <c r="B36" s="11" t="s">
        <v>369</v>
      </c>
      <c r="C36" s="11"/>
      <c r="D36" s="11" t="s">
        <v>294</v>
      </c>
      <c r="E36" s="11" t="s">
        <v>111</v>
      </c>
      <c r="F36" s="11"/>
      <c r="G36" s="11"/>
      <c r="H36" s="11"/>
      <c r="I36" s="11"/>
      <c r="J36" s="11"/>
      <c r="K36" s="11"/>
      <c r="L36" s="11" t="s">
        <v>290</v>
      </c>
      <c r="M36" s="11"/>
      <c r="N36" s="11"/>
      <c r="O36" s="11">
        <v>143</v>
      </c>
      <c r="P36" s="11">
        <v>0</v>
      </c>
      <c r="Q36" s="11" t="s">
        <v>291</v>
      </c>
    </row>
    <row r="37" spans="1:17" ht="15" customHeight="1" x14ac:dyDescent="0.2">
      <c r="A37" s="11" t="s">
        <v>370</v>
      </c>
      <c r="B37" s="11" t="s">
        <v>371</v>
      </c>
      <c r="C37" s="11"/>
      <c r="D37" s="11" t="s">
        <v>294</v>
      </c>
      <c r="E37" s="11" t="s">
        <v>372</v>
      </c>
      <c r="F37" s="11"/>
      <c r="G37" s="11"/>
      <c r="H37" s="11"/>
      <c r="I37" s="11"/>
      <c r="J37" s="11"/>
      <c r="K37" s="11"/>
      <c r="L37" s="11" t="s">
        <v>290</v>
      </c>
      <c r="M37" s="11"/>
      <c r="N37" s="11"/>
      <c r="O37" s="11">
        <v>880</v>
      </c>
      <c r="P37" s="11">
        <v>0</v>
      </c>
      <c r="Q37" s="11" t="s">
        <v>291</v>
      </c>
    </row>
    <row r="38" spans="1:17" ht="15" customHeight="1" x14ac:dyDescent="0.2">
      <c r="A38" s="11" t="s">
        <v>373</v>
      </c>
      <c r="B38" s="11" t="s">
        <v>374</v>
      </c>
      <c r="C38" s="11"/>
      <c r="D38" s="11" t="s">
        <v>301</v>
      </c>
      <c r="E38" s="11" t="s">
        <v>372</v>
      </c>
      <c r="F38" s="11"/>
      <c r="G38" s="11"/>
      <c r="H38" s="11"/>
      <c r="I38" s="11"/>
      <c r="J38" s="11"/>
      <c r="K38" s="11"/>
      <c r="L38" s="11" t="s">
        <v>290</v>
      </c>
      <c r="M38" s="11"/>
      <c r="N38" s="11"/>
      <c r="O38" s="11">
        <v>881</v>
      </c>
      <c r="P38" s="11">
        <v>0</v>
      </c>
      <c r="Q38" s="11" t="s">
        <v>291</v>
      </c>
    </row>
    <row r="39" spans="1:17" ht="15" customHeight="1" x14ac:dyDescent="0.2">
      <c r="A39" s="11" t="s">
        <v>375</v>
      </c>
      <c r="B39" s="11" t="s">
        <v>376</v>
      </c>
      <c r="C39" s="11"/>
      <c r="D39" s="11" t="s">
        <v>294</v>
      </c>
      <c r="E39" s="11" t="s">
        <v>372</v>
      </c>
      <c r="F39" s="11"/>
      <c r="G39" s="11"/>
      <c r="H39" s="11"/>
      <c r="I39" s="11"/>
      <c r="J39" s="11"/>
      <c r="K39" s="11"/>
      <c r="L39" s="11" t="s">
        <v>290</v>
      </c>
      <c r="M39" s="11"/>
      <c r="N39" s="11"/>
      <c r="O39" s="11">
        <v>882</v>
      </c>
      <c r="P39" s="11">
        <v>0</v>
      </c>
      <c r="Q39" s="11" t="s">
        <v>291</v>
      </c>
    </row>
    <row r="40" spans="1:17" ht="15" customHeight="1" x14ac:dyDescent="0.2">
      <c r="A40" s="11" t="s">
        <v>377</v>
      </c>
      <c r="B40" s="11" t="s">
        <v>378</v>
      </c>
      <c r="C40" s="11"/>
      <c r="D40" s="11" t="s">
        <v>288</v>
      </c>
      <c r="E40" s="11" t="s">
        <v>372</v>
      </c>
      <c r="F40" s="11"/>
      <c r="G40" s="11"/>
      <c r="H40" s="11"/>
      <c r="I40" s="11"/>
      <c r="J40" s="11"/>
      <c r="K40" s="11"/>
      <c r="L40" s="11" t="s">
        <v>290</v>
      </c>
      <c r="M40" s="11"/>
      <c r="N40" s="11"/>
      <c r="O40" s="11">
        <v>883</v>
      </c>
      <c r="P40" s="11">
        <v>0</v>
      </c>
      <c r="Q40" s="11" t="s">
        <v>291</v>
      </c>
    </row>
    <row r="41" spans="1:17" ht="15" customHeight="1" x14ac:dyDescent="0.2">
      <c r="A41" s="11" t="s">
        <v>379</v>
      </c>
      <c r="B41" s="11" t="s">
        <v>380</v>
      </c>
      <c r="C41" s="11"/>
      <c r="D41" s="11" t="s">
        <v>294</v>
      </c>
      <c r="E41" s="11" t="s">
        <v>372</v>
      </c>
      <c r="F41" s="11"/>
      <c r="G41" s="11"/>
      <c r="H41" s="11"/>
      <c r="I41" s="11"/>
      <c r="J41" s="11"/>
      <c r="K41" s="11"/>
      <c r="L41" s="11" t="s">
        <v>290</v>
      </c>
      <c r="M41" s="11"/>
      <c r="N41" s="11"/>
      <c r="O41" s="11">
        <v>884</v>
      </c>
      <c r="P41" s="11">
        <v>0</v>
      </c>
      <c r="Q41" s="11" t="s">
        <v>291</v>
      </c>
    </row>
    <row r="42" spans="1:17" ht="15" customHeight="1" x14ac:dyDescent="0.2">
      <c r="A42" s="11" t="s">
        <v>381</v>
      </c>
      <c r="B42" s="11" t="s">
        <v>382</v>
      </c>
      <c r="C42" s="11"/>
      <c r="D42" s="11" t="s">
        <v>294</v>
      </c>
      <c r="E42" s="11" t="s">
        <v>372</v>
      </c>
      <c r="F42" s="11"/>
      <c r="G42" s="11"/>
      <c r="H42" s="11"/>
      <c r="I42" s="11"/>
      <c r="J42" s="11"/>
      <c r="K42" s="11"/>
      <c r="L42" s="11" t="s">
        <v>290</v>
      </c>
      <c r="M42" s="11"/>
      <c r="N42" s="11"/>
      <c r="O42" s="11">
        <v>885</v>
      </c>
      <c r="P42" s="11">
        <v>0</v>
      </c>
      <c r="Q42" s="11" t="s">
        <v>291</v>
      </c>
    </row>
    <row r="43" spans="1:17" ht="15" customHeight="1" x14ac:dyDescent="0.2">
      <c r="A43" s="11" t="s">
        <v>383</v>
      </c>
      <c r="B43" s="11" t="s">
        <v>384</v>
      </c>
      <c r="C43" s="11"/>
      <c r="D43" s="11" t="s">
        <v>288</v>
      </c>
      <c r="E43" s="11" t="s">
        <v>372</v>
      </c>
      <c r="F43" s="11"/>
      <c r="G43" s="11"/>
      <c r="H43" s="11"/>
      <c r="I43" s="11"/>
      <c r="J43" s="11"/>
      <c r="K43" s="11"/>
      <c r="L43" s="11" t="s">
        <v>290</v>
      </c>
      <c r="M43" s="11"/>
      <c r="N43" s="11"/>
      <c r="O43" s="11">
        <v>886</v>
      </c>
      <c r="P43" s="11">
        <v>0</v>
      </c>
      <c r="Q43" s="11" t="s">
        <v>291</v>
      </c>
    </row>
    <row r="44" spans="1:17" ht="15" customHeight="1" x14ac:dyDescent="0.2">
      <c r="A44" s="11" t="s">
        <v>385</v>
      </c>
      <c r="B44" s="11" t="s">
        <v>386</v>
      </c>
      <c r="C44" s="11"/>
      <c r="D44" s="11" t="s">
        <v>288</v>
      </c>
      <c r="E44" s="11" t="s">
        <v>387</v>
      </c>
      <c r="F44" s="11"/>
      <c r="G44" s="11"/>
      <c r="H44" s="11"/>
      <c r="I44" s="11"/>
      <c r="J44" s="11"/>
      <c r="K44" s="11"/>
      <c r="L44" s="11" t="s">
        <v>290</v>
      </c>
      <c r="M44" s="11"/>
      <c r="N44" s="11"/>
      <c r="O44" s="11">
        <v>920</v>
      </c>
      <c r="P44" s="11">
        <v>0</v>
      </c>
      <c r="Q44" s="11" t="s">
        <v>291</v>
      </c>
    </row>
    <row r="45" spans="1:17" ht="15" customHeight="1" x14ac:dyDescent="0.2">
      <c r="A45" s="11" t="s">
        <v>388</v>
      </c>
      <c r="B45" s="11" t="s">
        <v>389</v>
      </c>
      <c r="C45" s="11"/>
      <c r="D45" s="11" t="s">
        <v>288</v>
      </c>
      <c r="E45" s="11" t="s">
        <v>387</v>
      </c>
      <c r="F45" s="11"/>
      <c r="G45" s="11"/>
      <c r="H45" s="11"/>
      <c r="I45" s="11"/>
      <c r="J45" s="11"/>
      <c r="K45" s="11"/>
      <c r="L45" s="11" t="s">
        <v>290</v>
      </c>
      <c r="M45" s="11"/>
      <c r="N45" s="11"/>
      <c r="O45" s="11">
        <v>921</v>
      </c>
      <c r="P45" s="11">
        <v>0</v>
      </c>
      <c r="Q45" s="11" t="s">
        <v>291</v>
      </c>
    </row>
    <row r="46" spans="1:17" ht="15" customHeight="1" x14ac:dyDescent="0.2">
      <c r="A46" s="11" t="s">
        <v>390</v>
      </c>
      <c r="B46" s="11" t="s">
        <v>391</v>
      </c>
      <c r="C46" s="11"/>
      <c r="D46" s="11" t="s">
        <v>294</v>
      </c>
      <c r="E46" s="11" t="s">
        <v>387</v>
      </c>
      <c r="F46" s="11"/>
      <c r="G46" s="11"/>
      <c r="H46" s="11"/>
      <c r="I46" s="11"/>
      <c r="J46" s="11"/>
      <c r="K46" s="11"/>
      <c r="L46" s="11" t="s">
        <v>290</v>
      </c>
      <c r="M46" s="11"/>
      <c r="N46" s="11"/>
      <c r="O46" s="11">
        <v>922</v>
      </c>
      <c r="P46" s="11">
        <v>0</v>
      </c>
      <c r="Q46" s="11" t="s">
        <v>291</v>
      </c>
    </row>
    <row r="47" spans="1:17" ht="15" customHeight="1" x14ac:dyDescent="0.2">
      <c r="A47" s="11" t="s">
        <v>392</v>
      </c>
      <c r="B47" s="11" t="s">
        <v>393</v>
      </c>
      <c r="C47" s="11"/>
      <c r="D47" s="11" t="s">
        <v>294</v>
      </c>
      <c r="E47" s="11" t="s">
        <v>387</v>
      </c>
      <c r="F47" s="11"/>
      <c r="G47" s="11"/>
      <c r="H47" s="11"/>
      <c r="I47" s="11"/>
      <c r="J47" s="11"/>
      <c r="K47" s="11"/>
      <c r="L47" s="11" t="s">
        <v>290</v>
      </c>
      <c r="M47" s="11"/>
      <c r="N47" s="11"/>
      <c r="O47" s="11">
        <v>923</v>
      </c>
      <c r="P47" s="11">
        <v>0</v>
      </c>
      <c r="Q47" s="11" t="s">
        <v>291</v>
      </c>
    </row>
    <row r="48" spans="1:17" ht="15" customHeight="1" x14ac:dyDescent="0.2">
      <c r="A48" s="11" t="s">
        <v>394</v>
      </c>
      <c r="B48" s="11" t="s">
        <v>395</v>
      </c>
      <c r="C48" s="11"/>
      <c r="D48" s="11" t="s">
        <v>294</v>
      </c>
      <c r="E48" s="11" t="s">
        <v>387</v>
      </c>
      <c r="F48" s="11"/>
      <c r="G48" s="11"/>
      <c r="H48" s="11"/>
      <c r="I48" s="11"/>
      <c r="J48" s="11"/>
      <c r="K48" s="11"/>
      <c r="L48" s="11" t="s">
        <v>290</v>
      </c>
      <c r="M48" s="11"/>
      <c r="N48" s="11"/>
      <c r="O48" s="11">
        <v>924</v>
      </c>
      <c r="P48" s="11">
        <v>0</v>
      </c>
      <c r="Q48" s="11" t="s">
        <v>291</v>
      </c>
    </row>
    <row r="49" spans="1:17" ht="15" customHeight="1" x14ac:dyDescent="0.2">
      <c r="A49" s="11" t="s">
        <v>396</v>
      </c>
      <c r="B49" s="11" t="s">
        <v>397</v>
      </c>
      <c r="C49" s="11"/>
      <c r="D49" s="11" t="s">
        <v>288</v>
      </c>
      <c r="E49" s="11" t="s">
        <v>398</v>
      </c>
      <c r="F49" s="11"/>
      <c r="G49" s="11"/>
      <c r="H49" s="11"/>
      <c r="I49" s="11"/>
      <c r="J49" s="11"/>
      <c r="K49" s="11"/>
      <c r="L49" s="11" t="s">
        <v>290</v>
      </c>
      <c r="M49" s="11"/>
      <c r="N49" s="11"/>
      <c r="O49" s="11">
        <v>900</v>
      </c>
      <c r="P49" s="11">
        <v>0</v>
      </c>
      <c r="Q49" s="11" t="s">
        <v>291</v>
      </c>
    </row>
    <row r="50" spans="1:17" ht="15" customHeight="1" x14ac:dyDescent="0.2">
      <c r="A50" s="11" t="s">
        <v>399</v>
      </c>
      <c r="B50" s="11" t="s">
        <v>400</v>
      </c>
      <c r="C50" s="11"/>
      <c r="D50" s="11" t="s">
        <v>294</v>
      </c>
      <c r="E50" s="11" t="s">
        <v>398</v>
      </c>
      <c r="F50" s="11"/>
      <c r="G50" s="11"/>
      <c r="H50" s="11"/>
      <c r="I50" s="11"/>
      <c r="J50" s="11"/>
      <c r="K50" s="11"/>
      <c r="L50" s="11" t="s">
        <v>290</v>
      </c>
      <c r="M50" s="11"/>
      <c r="N50" s="11"/>
      <c r="O50" s="11">
        <v>901</v>
      </c>
      <c r="P50" s="11">
        <v>0</v>
      </c>
      <c r="Q50" s="11" t="s">
        <v>291</v>
      </c>
    </row>
    <row r="51" spans="1:17" ht="15" customHeight="1" x14ac:dyDescent="0.2">
      <c r="A51" s="11" t="s">
        <v>401</v>
      </c>
      <c r="B51" s="11" t="s">
        <v>402</v>
      </c>
      <c r="C51" s="11"/>
      <c r="D51" s="11" t="s">
        <v>294</v>
      </c>
      <c r="E51" s="11" t="s">
        <v>398</v>
      </c>
      <c r="F51" s="11"/>
      <c r="G51" s="11"/>
      <c r="H51" s="11"/>
      <c r="I51" s="11"/>
      <c r="J51" s="11"/>
      <c r="K51" s="11"/>
      <c r="L51" s="11" t="s">
        <v>290</v>
      </c>
      <c r="M51" s="11"/>
      <c r="N51" s="11"/>
      <c r="O51" s="11">
        <v>902</v>
      </c>
      <c r="P51" s="11">
        <v>0</v>
      </c>
      <c r="Q51" s="11" t="s">
        <v>291</v>
      </c>
    </row>
    <row r="52" spans="1:17" ht="15" customHeight="1" x14ac:dyDescent="0.2">
      <c r="A52" s="11" t="s">
        <v>403</v>
      </c>
      <c r="B52" s="11" t="s">
        <v>404</v>
      </c>
      <c r="C52" s="11"/>
      <c r="D52" s="11" t="s">
        <v>288</v>
      </c>
      <c r="E52" s="11" t="s">
        <v>398</v>
      </c>
      <c r="F52" s="11"/>
      <c r="G52" s="11"/>
      <c r="H52" s="11"/>
      <c r="I52" s="11"/>
      <c r="J52" s="11"/>
      <c r="K52" s="11"/>
      <c r="L52" s="11" t="s">
        <v>290</v>
      </c>
      <c r="M52" s="11"/>
      <c r="N52" s="11"/>
      <c r="O52" s="11">
        <v>903</v>
      </c>
      <c r="P52" s="11">
        <v>0</v>
      </c>
      <c r="Q52" s="11" t="s">
        <v>291</v>
      </c>
    </row>
    <row r="53" spans="1:17" ht="15" customHeight="1" x14ac:dyDescent="0.2">
      <c r="A53" s="11" t="s">
        <v>405</v>
      </c>
      <c r="B53" s="11" t="s">
        <v>406</v>
      </c>
      <c r="C53" s="11"/>
      <c r="D53" s="11" t="s">
        <v>294</v>
      </c>
      <c r="E53" s="11" t="s">
        <v>398</v>
      </c>
      <c r="F53" s="11"/>
      <c r="G53" s="11"/>
      <c r="H53" s="11"/>
      <c r="I53" s="11"/>
      <c r="J53" s="11"/>
      <c r="K53" s="11"/>
      <c r="L53" s="11" t="s">
        <v>290</v>
      </c>
      <c r="M53" s="11"/>
      <c r="N53" s="11"/>
      <c r="O53" s="11">
        <v>904</v>
      </c>
      <c r="P53" s="11">
        <v>0</v>
      </c>
      <c r="Q53" s="11" t="s">
        <v>291</v>
      </c>
    </row>
    <row r="54" spans="1:17" ht="15" customHeight="1" x14ac:dyDescent="0.2">
      <c r="A54" s="11" t="s">
        <v>407</v>
      </c>
      <c r="B54" s="11" t="s">
        <v>408</v>
      </c>
      <c r="C54" s="11"/>
      <c r="D54" s="11" t="s">
        <v>294</v>
      </c>
      <c r="E54" s="11" t="s">
        <v>398</v>
      </c>
      <c r="F54" s="11"/>
      <c r="G54" s="11"/>
      <c r="H54" s="11"/>
      <c r="I54" s="11"/>
      <c r="J54" s="11"/>
      <c r="K54" s="11"/>
      <c r="L54" s="11" t="s">
        <v>290</v>
      </c>
      <c r="M54" s="11"/>
      <c r="N54" s="11"/>
      <c r="O54" s="11">
        <v>905</v>
      </c>
      <c r="P54" s="11">
        <v>0</v>
      </c>
      <c r="Q54" s="11" t="s">
        <v>291</v>
      </c>
    </row>
    <row r="55" spans="1:17" ht="15" customHeight="1" x14ac:dyDescent="0.2">
      <c r="A55" s="11" t="s">
        <v>409</v>
      </c>
      <c r="B55" s="11" t="s">
        <v>410</v>
      </c>
      <c r="C55" s="11"/>
      <c r="D55" s="11" t="s">
        <v>288</v>
      </c>
      <c r="E55" s="11" t="s">
        <v>157</v>
      </c>
      <c r="F55" s="11"/>
      <c r="G55" s="11"/>
      <c r="H55" s="11"/>
      <c r="I55" s="11"/>
      <c r="J55" s="11"/>
      <c r="K55" s="11"/>
      <c r="L55" s="11" t="s">
        <v>290</v>
      </c>
      <c r="M55" s="11"/>
      <c r="N55" s="11"/>
      <c r="O55" s="11">
        <v>530</v>
      </c>
      <c r="P55" s="11">
        <v>0</v>
      </c>
      <c r="Q55" s="11" t="s">
        <v>291</v>
      </c>
    </row>
    <row r="56" spans="1:17" ht="15" customHeight="1" x14ac:dyDescent="0.2">
      <c r="A56" s="11" t="s">
        <v>411</v>
      </c>
      <c r="B56" s="11" t="s">
        <v>412</v>
      </c>
      <c r="C56" s="11"/>
      <c r="D56" s="11" t="s">
        <v>288</v>
      </c>
      <c r="E56" s="11" t="s">
        <v>157</v>
      </c>
      <c r="F56" s="11"/>
      <c r="G56" s="11"/>
      <c r="H56" s="11"/>
      <c r="I56" s="11"/>
      <c r="J56" s="11"/>
      <c r="K56" s="11"/>
      <c r="L56" s="11" t="s">
        <v>290</v>
      </c>
      <c r="M56" s="11"/>
      <c r="N56" s="11"/>
      <c r="O56" s="11">
        <v>531</v>
      </c>
      <c r="P56" s="11">
        <v>0</v>
      </c>
      <c r="Q56" s="11" t="s">
        <v>291</v>
      </c>
    </row>
    <row r="57" spans="1:17" ht="15" customHeight="1" x14ac:dyDescent="0.2">
      <c r="A57" s="11" t="s">
        <v>413</v>
      </c>
      <c r="B57" s="11" t="s">
        <v>414</v>
      </c>
      <c r="C57" s="11"/>
      <c r="D57" s="11" t="s">
        <v>288</v>
      </c>
      <c r="E57" s="11" t="s">
        <v>157</v>
      </c>
      <c r="F57" s="11"/>
      <c r="G57" s="11"/>
      <c r="H57" s="11"/>
      <c r="I57" s="11"/>
      <c r="J57" s="11"/>
      <c r="K57" s="11"/>
      <c r="L57" s="11" t="s">
        <v>290</v>
      </c>
      <c r="M57" s="11"/>
      <c r="N57" s="11"/>
      <c r="O57" s="11">
        <v>532</v>
      </c>
      <c r="P57" s="11">
        <v>0</v>
      </c>
      <c r="Q57" s="11" t="s">
        <v>291</v>
      </c>
    </row>
    <row r="58" spans="1:17" ht="15" customHeight="1" x14ac:dyDescent="0.2">
      <c r="A58" s="11" t="s">
        <v>415</v>
      </c>
      <c r="B58" s="11" t="s">
        <v>416</v>
      </c>
      <c r="C58" s="11"/>
      <c r="D58" s="11" t="s">
        <v>294</v>
      </c>
      <c r="E58" s="11" t="s">
        <v>157</v>
      </c>
      <c r="F58" s="11"/>
      <c r="G58" s="11"/>
      <c r="H58" s="11"/>
      <c r="I58" s="11"/>
      <c r="J58" s="11"/>
      <c r="K58" s="11"/>
      <c r="L58" s="11" t="s">
        <v>290</v>
      </c>
      <c r="M58" s="11"/>
      <c r="N58" s="11"/>
      <c r="O58" s="11">
        <v>533</v>
      </c>
      <c r="P58" s="11">
        <v>0</v>
      </c>
      <c r="Q58" s="11" t="s">
        <v>291</v>
      </c>
    </row>
    <row r="59" spans="1:17" ht="15" customHeight="1" x14ac:dyDescent="0.2">
      <c r="A59" s="11" t="s">
        <v>417</v>
      </c>
      <c r="B59" s="11" t="s">
        <v>418</v>
      </c>
      <c r="C59" s="11"/>
      <c r="D59" s="11" t="s">
        <v>288</v>
      </c>
      <c r="E59" s="11" t="s">
        <v>419</v>
      </c>
      <c r="F59" s="11"/>
      <c r="G59" s="11"/>
      <c r="H59" s="11"/>
      <c r="I59" s="11"/>
      <c r="J59" s="11"/>
      <c r="K59" s="11"/>
      <c r="L59" s="11" t="s">
        <v>290</v>
      </c>
      <c r="M59" s="11"/>
      <c r="N59" s="11"/>
      <c r="O59" s="11">
        <v>830</v>
      </c>
      <c r="P59" s="11">
        <v>0</v>
      </c>
      <c r="Q59" s="11" t="s">
        <v>291</v>
      </c>
    </row>
    <row r="60" spans="1:17" ht="15" customHeight="1" x14ac:dyDescent="0.2">
      <c r="A60" s="11" t="s">
        <v>420</v>
      </c>
      <c r="B60" s="11" t="s">
        <v>421</v>
      </c>
      <c r="C60" s="11"/>
      <c r="D60" s="11" t="s">
        <v>294</v>
      </c>
      <c r="E60" s="11" t="s">
        <v>419</v>
      </c>
      <c r="F60" s="11"/>
      <c r="G60" s="11"/>
      <c r="H60" s="11"/>
      <c r="I60" s="11"/>
      <c r="J60" s="11"/>
      <c r="K60" s="11"/>
      <c r="L60" s="11" t="s">
        <v>290</v>
      </c>
      <c r="M60" s="11"/>
      <c r="N60" s="11"/>
      <c r="O60" s="11">
        <v>831</v>
      </c>
      <c r="P60" s="11">
        <v>0</v>
      </c>
      <c r="Q60" s="11" t="s">
        <v>291</v>
      </c>
    </row>
    <row r="61" spans="1:17" ht="15" customHeight="1" x14ac:dyDescent="0.2">
      <c r="A61" s="11" t="s">
        <v>422</v>
      </c>
      <c r="B61" s="11" t="s">
        <v>423</v>
      </c>
      <c r="C61" s="11"/>
      <c r="D61" s="11" t="s">
        <v>294</v>
      </c>
      <c r="E61" s="11" t="s">
        <v>419</v>
      </c>
      <c r="F61" s="11"/>
      <c r="G61" s="11"/>
      <c r="H61" s="11"/>
      <c r="I61" s="11"/>
      <c r="J61" s="11"/>
      <c r="K61" s="11"/>
      <c r="L61" s="11" t="s">
        <v>290</v>
      </c>
      <c r="M61" s="11"/>
      <c r="N61" s="11"/>
      <c r="O61" s="11">
        <v>832</v>
      </c>
      <c r="P61" s="11">
        <v>0</v>
      </c>
      <c r="Q61" s="11" t="s">
        <v>291</v>
      </c>
    </row>
    <row r="62" spans="1:17" ht="15" customHeight="1" x14ac:dyDescent="0.2">
      <c r="A62" s="11" t="s">
        <v>424</v>
      </c>
      <c r="B62" s="11" t="s">
        <v>425</v>
      </c>
      <c r="C62" s="11"/>
      <c r="D62" s="11" t="s">
        <v>294</v>
      </c>
      <c r="E62" s="11" t="s">
        <v>419</v>
      </c>
      <c r="F62" s="11"/>
      <c r="G62" s="11"/>
      <c r="H62" s="11"/>
      <c r="I62" s="11"/>
      <c r="J62" s="11"/>
      <c r="K62" s="11"/>
      <c r="L62" s="11" t="s">
        <v>290</v>
      </c>
      <c r="M62" s="11"/>
      <c r="N62" s="11"/>
      <c r="O62" s="11">
        <v>833</v>
      </c>
      <c r="P62" s="11">
        <v>0</v>
      </c>
      <c r="Q62" s="11" t="s">
        <v>291</v>
      </c>
    </row>
    <row r="63" spans="1:17" ht="15" customHeight="1" x14ac:dyDescent="0.2">
      <c r="A63" s="11" t="s">
        <v>426</v>
      </c>
      <c r="B63" s="11" t="s">
        <v>427</v>
      </c>
      <c r="C63" s="11"/>
      <c r="D63" s="11" t="s">
        <v>294</v>
      </c>
      <c r="E63" s="11" t="s">
        <v>419</v>
      </c>
      <c r="F63" s="11"/>
      <c r="G63" s="11"/>
      <c r="H63" s="11"/>
      <c r="I63" s="11"/>
      <c r="J63" s="11"/>
      <c r="K63" s="11"/>
      <c r="L63" s="11" t="s">
        <v>290</v>
      </c>
      <c r="M63" s="11"/>
      <c r="N63" s="11"/>
      <c r="O63" s="11">
        <v>834</v>
      </c>
      <c r="P63" s="11">
        <v>0</v>
      </c>
      <c r="Q63" s="11" t="s">
        <v>291</v>
      </c>
    </row>
    <row r="64" spans="1:17" ht="15" customHeight="1" x14ac:dyDescent="0.2">
      <c r="A64" s="11" t="s">
        <v>428</v>
      </c>
      <c r="B64" s="11" t="s">
        <v>429</v>
      </c>
      <c r="C64" s="11"/>
      <c r="D64" s="11" t="s">
        <v>288</v>
      </c>
      <c r="E64" s="11" t="s">
        <v>419</v>
      </c>
      <c r="F64" s="11"/>
      <c r="G64" s="11"/>
      <c r="H64" s="11"/>
      <c r="I64" s="11"/>
      <c r="J64" s="11"/>
      <c r="K64" s="11"/>
      <c r="L64" s="11" t="s">
        <v>290</v>
      </c>
      <c r="M64" s="11"/>
      <c r="N64" s="11"/>
      <c r="O64" s="11">
        <v>835</v>
      </c>
      <c r="P64" s="11">
        <v>0</v>
      </c>
      <c r="Q64" s="11" t="s">
        <v>291</v>
      </c>
    </row>
    <row r="65" spans="1:17" ht="15" customHeight="1" x14ac:dyDescent="0.2">
      <c r="A65" s="11" t="s">
        <v>430</v>
      </c>
      <c r="B65" s="11" t="s">
        <v>431</v>
      </c>
      <c r="C65" s="11"/>
      <c r="D65" s="11" t="s">
        <v>288</v>
      </c>
      <c r="E65" s="11" t="s">
        <v>419</v>
      </c>
      <c r="F65" s="11"/>
      <c r="G65" s="11"/>
      <c r="H65" s="11"/>
      <c r="I65" s="11"/>
      <c r="J65" s="11"/>
      <c r="K65" s="11"/>
      <c r="L65" s="11" t="s">
        <v>290</v>
      </c>
      <c r="M65" s="11"/>
      <c r="N65" s="11"/>
      <c r="O65" s="11">
        <v>836</v>
      </c>
      <c r="P65" s="11">
        <v>0</v>
      </c>
      <c r="Q65" s="11" t="s">
        <v>291</v>
      </c>
    </row>
    <row r="66" spans="1:17" ht="15" customHeight="1" x14ac:dyDescent="0.2">
      <c r="A66" s="11" t="s">
        <v>432</v>
      </c>
      <c r="B66" s="11" t="s">
        <v>433</v>
      </c>
      <c r="C66" s="11"/>
      <c r="D66" s="11" t="s">
        <v>294</v>
      </c>
      <c r="E66" s="11" t="s">
        <v>419</v>
      </c>
      <c r="F66" s="11"/>
      <c r="G66" s="11"/>
      <c r="H66" s="11"/>
      <c r="I66" s="11"/>
      <c r="J66" s="11"/>
      <c r="K66" s="11"/>
      <c r="L66" s="11" t="s">
        <v>290</v>
      </c>
      <c r="M66" s="11"/>
      <c r="N66" s="11"/>
      <c r="O66" s="11">
        <v>837</v>
      </c>
      <c r="P66" s="11">
        <v>0</v>
      </c>
      <c r="Q66" s="11" t="s">
        <v>291</v>
      </c>
    </row>
    <row r="67" spans="1:17" ht="15" customHeight="1" x14ac:dyDescent="0.2">
      <c r="A67" s="11" t="s">
        <v>434</v>
      </c>
      <c r="B67" s="11" t="s">
        <v>435</v>
      </c>
      <c r="C67" s="11"/>
      <c r="D67" s="11" t="s">
        <v>436</v>
      </c>
      <c r="E67" s="11" t="s">
        <v>419</v>
      </c>
      <c r="F67" s="11"/>
      <c r="G67" s="11"/>
      <c r="H67" s="11"/>
      <c r="I67" s="11"/>
      <c r="J67" s="11"/>
      <c r="K67" s="11"/>
      <c r="L67" s="11" t="s">
        <v>290</v>
      </c>
      <c r="M67" s="11"/>
      <c r="N67" s="11"/>
      <c r="O67" s="11">
        <v>838</v>
      </c>
      <c r="P67" s="11">
        <v>0</v>
      </c>
      <c r="Q67" s="11" t="s">
        <v>291</v>
      </c>
    </row>
    <row r="68" spans="1:17" ht="15" customHeight="1" x14ac:dyDescent="0.2">
      <c r="A68" s="11" t="s">
        <v>437</v>
      </c>
      <c r="B68" s="11" t="s">
        <v>438</v>
      </c>
      <c r="C68" s="11"/>
      <c r="D68" s="11" t="s">
        <v>288</v>
      </c>
      <c r="E68" s="11" t="s">
        <v>173</v>
      </c>
      <c r="F68" s="11"/>
      <c r="G68" s="11"/>
      <c r="H68" s="11"/>
      <c r="I68" s="11"/>
      <c r="J68" s="11"/>
      <c r="K68" s="11"/>
      <c r="L68" s="11" t="s">
        <v>290</v>
      </c>
      <c r="M68" s="11"/>
      <c r="N68" s="11"/>
      <c r="O68" s="11">
        <v>570</v>
      </c>
      <c r="P68" s="11">
        <v>0</v>
      </c>
      <c r="Q68" s="11" t="s">
        <v>291</v>
      </c>
    </row>
    <row r="69" spans="1:17" ht="15" customHeight="1" x14ac:dyDescent="0.2">
      <c r="A69" s="11" t="s">
        <v>439</v>
      </c>
      <c r="B69" s="11" t="s">
        <v>440</v>
      </c>
      <c r="C69" s="11"/>
      <c r="D69" s="11" t="s">
        <v>288</v>
      </c>
      <c r="E69" s="11" t="s">
        <v>173</v>
      </c>
      <c r="F69" s="11"/>
      <c r="G69" s="11"/>
      <c r="H69" s="11"/>
      <c r="I69" s="11"/>
      <c r="J69" s="11"/>
      <c r="K69" s="11"/>
      <c r="L69" s="11" t="s">
        <v>290</v>
      </c>
      <c r="M69" s="11"/>
      <c r="N69" s="11"/>
      <c r="O69" s="11">
        <v>571</v>
      </c>
      <c r="P69" s="11">
        <v>0</v>
      </c>
      <c r="Q69" s="11" t="s">
        <v>291</v>
      </c>
    </row>
    <row r="70" spans="1:17" ht="15" customHeight="1" x14ac:dyDescent="0.2">
      <c r="A70" s="11" t="s">
        <v>441</v>
      </c>
      <c r="B70" s="11" t="s">
        <v>442</v>
      </c>
      <c r="C70" s="11"/>
      <c r="D70" s="11" t="s">
        <v>294</v>
      </c>
      <c r="E70" s="11" t="s">
        <v>173</v>
      </c>
      <c r="F70" s="11"/>
      <c r="G70" s="11"/>
      <c r="H70" s="11"/>
      <c r="I70" s="11"/>
      <c r="J70" s="11"/>
      <c r="K70" s="11"/>
      <c r="L70" s="11" t="s">
        <v>290</v>
      </c>
      <c r="M70" s="11"/>
      <c r="N70" s="11"/>
      <c r="O70" s="11">
        <v>572</v>
      </c>
      <c r="P70" s="11">
        <v>0</v>
      </c>
      <c r="Q70" s="11" t="s">
        <v>291</v>
      </c>
    </row>
    <row r="71" spans="1:17" ht="15" customHeight="1" x14ac:dyDescent="0.2">
      <c r="A71" s="11" t="s">
        <v>443</v>
      </c>
      <c r="B71" s="11" t="s">
        <v>444</v>
      </c>
      <c r="C71" s="11"/>
      <c r="D71" s="11" t="s">
        <v>288</v>
      </c>
      <c r="E71" s="11" t="s">
        <v>144</v>
      </c>
      <c r="F71" s="11"/>
      <c r="G71" s="11"/>
      <c r="H71" s="11"/>
      <c r="I71" s="11"/>
      <c r="J71" s="11"/>
      <c r="K71" s="11"/>
      <c r="L71" s="11" t="s">
        <v>290</v>
      </c>
      <c r="M71" s="11"/>
      <c r="N71" s="11"/>
      <c r="O71" s="11">
        <v>220</v>
      </c>
      <c r="P71" s="11">
        <v>0</v>
      </c>
      <c r="Q71" s="11" t="s">
        <v>291</v>
      </c>
    </row>
    <row r="72" spans="1:17" ht="15" customHeight="1" x14ac:dyDescent="0.2">
      <c r="A72" s="11" t="s">
        <v>445</v>
      </c>
      <c r="B72" s="11" t="s">
        <v>446</v>
      </c>
      <c r="C72" s="11"/>
      <c r="D72" s="11" t="s">
        <v>288</v>
      </c>
      <c r="E72" s="11" t="s">
        <v>144</v>
      </c>
      <c r="F72" s="11"/>
      <c r="G72" s="11"/>
      <c r="H72" s="11"/>
      <c r="I72" s="11"/>
      <c r="J72" s="11"/>
      <c r="K72" s="11"/>
      <c r="L72" s="11" t="s">
        <v>290</v>
      </c>
      <c r="M72" s="11"/>
      <c r="N72" s="11"/>
      <c r="O72" s="11">
        <v>221</v>
      </c>
      <c r="P72" s="11">
        <v>0</v>
      </c>
      <c r="Q72" s="11" t="s">
        <v>291</v>
      </c>
    </row>
    <row r="73" spans="1:17" ht="15" customHeight="1" x14ac:dyDescent="0.2">
      <c r="A73" s="11" t="s">
        <v>447</v>
      </c>
      <c r="B73" s="11" t="s">
        <v>448</v>
      </c>
      <c r="C73" s="11"/>
      <c r="D73" s="11" t="s">
        <v>288</v>
      </c>
      <c r="E73" s="11" t="s">
        <v>144</v>
      </c>
      <c r="F73" s="11"/>
      <c r="G73" s="11"/>
      <c r="H73" s="11"/>
      <c r="I73" s="11"/>
      <c r="J73" s="11"/>
      <c r="K73" s="11"/>
      <c r="L73" s="11" t="s">
        <v>290</v>
      </c>
      <c r="M73" s="11"/>
      <c r="N73" s="11"/>
      <c r="O73" s="11">
        <v>222</v>
      </c>
      <c r="P73" s="11">
        <v>0</v>
      </c>
      <c r="Q73" s="11" t="s">
        <v>291</v>
      </c>
    </row>
    <row r="74" spans="1:17" ht="15" customHeight="1" x14ac:dyDescent="0.2">
      <c r="A74" s="11" t="s">
        <v>449</v>
      </c>
      <c r="B74" s="11" t="s">
        <v>450</v>
      </c>
      <c r="C74" s="11"/>
      <c r="D74" s="11" t="s">
        <v>288</v>
      </c>
      <c r="E74" s="11" t="s">
        <v>144</v>
      </c>
      <c r="F74" s="11"/>
      <c r="G74" s="11"/>
      <c r="H74" s="11"/>
      <c r="I74" s="11"/>
      <c r="J74" s="11"/>
      <c r="K74" s="11"/>
      <c r="L74" s="11" t="s">
        <v>290</v>
      </c>
      <c r="M74" s="11"/>
      <c r="N74" s="11"/>
      <c r="O74" s="11">
        <v>223</v>
      </c>
      <c r="P74" s="11">
        <v>0</v>
      </c>
      <c r="Q74" s="11" t="s">
        <v>291</v>
      </c>
    </row>
    <row r="75" spans="1:17" ht="15" customHeight="1" x14ac:dyDescent="0.2">
      <c r="A75" s="11" t="s">
        <v>451</v>
      </c>
      <c r="B75" s="11" t="s">
        <v>452</v>
      </c>
      <c r="C75" s="11"/>
      <c r="D75" s="11" t="s">
        <v>288</v>
      </c>
      <c r="E75" s="11" t="s">
        <v>144</v>
      </c>
      <c r="F75" s="11"/>
      <c r="G75" s="11"/>
      <c r="H75" s="11"/>
      <c r="I75" s="11"/>
      <c r="J75" s="11"/>
      <c r="K75" s="11"/>
      <c r="L75" s="11" t="s">
        <v>290</v>
      </c>
      <c r="M75" s="11"/>
      <c r="N75" s="11"/>
      <c r="O75" s="11">
        <v>224</v>
      </c>
      <c r="P75" s="11">
        <v>0</v>
      </c>
      <c r="Q75" s="11" t="s">
        <v>291</v>
      </c>
    </row>
    <row r="76" spans="1:17" ht="15" customHeight="1" x14ac:dyDescent="0.2">
      <c r="A76" s="11" t="s">
        <v>453</v>
      </c>
      <c r="B76" s="11" t="s">
        <v>454</v>
      </c>
      <c r="C76" s="11"/>
      <c r="D76" s="11" t="s">
        <v>288</v>
      </c>
      <c r="E76" s="11" t="s">
        <v>144</v>
      </c>
      <c r="F76" s="11"/>
      <c r="G76" s="11"/>
      <c r="H76" s="11"/>
      <c r="I76" s="11"/>
      <c r="J76" s="11"/>
      <c r="K76" s="11"/>
      <c r="L76" s="11" t="s">
        <v>290</v>
      </c>
      <c r="M76" s="11"/>
      <c r="N76" s="11"/>
      <c r="O76" s="11">
        <v>225</v>
      </c>
      <c r="P76" s="11">
        <v>0</v>
      </c>
      <c r="Q76" s="11" t="s">
        <v>291</v>
      </c>
    </row>
    <row r="77" spans="1:17" ht="15" customHeight="1" x14ac:dyDescent="0.2">
      <c r="A77" s="11" t="s">
        <v>455</v>
      </c>
      <c r="B77" s="11" t="s">
        <v>456</v>
      </c>
      <c r="C77" s="11"/>
      <c r="D77" s="11" t="s">
        <v>294</v>
      </c>
      <c r="E77" s="11" t="s">
        <v>144</v>
      </c>
      <c r="F77" s="11"/>
      <c r="G77" s="11"/>
      <c r="H77" s="11"/>
      <c r="I77" s="11"/>
      <c r="J77" s="11"/>
      <c r="K77" s="11"/>
      <c r="L77" s="11" t="s">
        <v>290</v>
      </c>
      <c r="M77" s="11"/>
      <c r="N77" s="11"/>
      <c r="O77" s="11">
        <v>226</v>
      </c>
      <c r="P77" s="11">
        <v>0</v>
      </c>
      <c r="Q77" s="11" t="s">
        <v>291</v>
      </c>
    </row>
    <row r="78" spans="1:17" ht="15" customHeight="1" x14ac:dyDescent="0.2">
      <c r="A78" s="11" t="s">
        <v>457</v>
      </c>
      <c r="B78" s="11" t="s">
        <v>458</v>
      </c>
      <c r="C78" s="11"/>
      <c r="D78" s="11" t="s">
        <v>294</v>
      </c>
      <c r="E78" s="11" t="s">
        <v>144</v>
      </c>
      <c r="F78" s="11"/>
      <c r="G78" s="11"/>
      <c r="H78" s="11"/>
      <c r="I78" s="11"/>
      <c r="J78" s="11"/>
      <c r="K78" s="11"/>
      <c r="L78" s="11" t="s">
        <v>290</v>
      </c>
      <c r="M78" s="11"/>
      <c r="N78" s="11"/>
      <c r="O78" s="11">
        <v>227</v>
      </c>
      <c r="P78" s="11">
        <v>0</v>
      </c>
      <c r="Q78" s="11" t="s">
        <v>291</v>
      </c>
    </row>
    <row r="79" spans="1:17" ht="15" customHeight="1" x14ac:dyDescent="0.2">
      <c r="A79" s="11" t="s">
        <v>459</v>
      </c>
      <c r="B79" s="11" t="s">
        <v>460</v>
      </c>
      <c r="C79" s="11"/>
      <c r="D79" s="11" t="s">
        <v>349</v>
      </c>
      <c r="E79" s="11" t="s">
        <v>212</v>
      </c>
      <c r="F79" s="11"/>
      <c r="G79" s="11"/>
      <c r="H79" s="11"/>
      <c r="I79" s="11"/>
      <c r="J79" s="11"/>
      <c r="K79" s="11"/>
      <c r="L79" s="11" t="s">
        <v>290</v>
      </c>
      <c r="M79" s="11"/>
      <c r="N79" s="11"/>
      <c r="O79" s="11">
        <v>410</v>
      </c>
      <c r="P79" s="11">
        <v>0</v>
      </c>
      <c r="Q79" s="11" t="s">
        <v>350</v>
      </c>
    </row>
    <row r="80" spans="1:17" ht="15" customHeight="1" x14ac:dyDescent="0.2">
      <c r="A80" s="11" t="s">
        <v>461</v>
      </c>
      <c r="B80" s="11" t="s">
        <v>462</v>
      </c>
      <c r="C80" s="11"/>
      <c r="D80" s="11" t="s">
        <v>359</v>
      </c>
      <c r="E80" s="11" t="s">
        <v>212</v>
      </c>
      <c r="F80" s="11"/>
      <c r="G80" s="11"/>
      <c r="H80" s="11"/>
      <c r="I80" s="11"/>
      <c r="J80" s="11"/>
      <c r="K80" s="11"/>
      <c r="L80" s="11" t="s">
        <v>290</v>
      </c>
      <c r="M80" s="11"/>
      <c r="N80" s="11"/>
      <c r="O80" s="11">
        <v>411</v>
      </c>
      <c r="P80" s="11">
        <v>0</v>
      </c>
      <c r="Q80" s="11" t="s">
        <v>350</v>
      </c>
    </row>
    <row r="81" spans="1:17" ht="15" customHeight="1" x14ac:dyDescent="0.2">
      <c r="A81" s="11" t="s">
        <v>463</v>
      </c>
      <c r="B81" s="11" t="s">
        <v>464</v>
      </c>
      <c r="C81" s="11"/>
      <c r="D81" s="11" t="s">
        <v>288</v>
      </c>
      <c r="E81" s="11" t="s">
        <v>212</v>
      </c>
      <c r="F81" s="11"/>
      <c r="G81" s="11"/>
      <c r="H81" s="11"/>
      <c r="I81" s="11"/>
      <c r="J81" s="11"/>
      <c r="K81" s="11"/>
      <c r="L81" s="11" t="s">
        <v>290</v>
      </c>
      <c r="M81" s="11"/>
      <c r="N81" s="11"/>
      <c r="O81" s="11">
        <v>412</v>
      </c>
      <c r="P81" s="11">
        <v>0</v>
      </c>
      <c r="Q81" s="11" t="s">
        <v>291</v>
      </c>
    </row>
    <row r="82" spans="1:17" ht="15" customHeight="1" x14ac:dyDescent="0.2">
      <c r="A82" s="11" t="s">
        <v>465</v>
      </c>
      <c r="B82" s="11" t="s">
        <v>466</v>
      </c>
      <c r="C82" s="11"/>
      <c r="D82" s="11" t="s">
        <v>346</v>
      </c>
      <c r="E82" s="11" t="s">
        <v>212</v>
      </c>
      <c r="F82" s="11"/>
      <c r="G82" s="11"/>
      <c r="H82" s="11"/>
      <c r="I82" s="11"/>
      <c r="J82" s="11"/>
      <c r="K82" s="11"/>
      <c r="L82" s="11" t="s">
        <v>290</v>
      </c>
      <c r="M82" s="11"/>
      <c r="N82" s="11"/>
      <c r="O82" s="11">
        <v>413</v>
      </c>
      <c r="P82" s="11">
        <v>0</v>
      </c>
      <c r="Q82" s="11" t="s">
        <v>291</v>
      </c>
    </row>
    <row r="83" spans="1:17" ht="15" customHeight="1" x14ac:dyDescent="0.2">
      <c r="A83" s="11" t="s">
        <v>467</v>
      </c>
      <c r="B83" s="11" t="s">
        <v>468</v>
      </c>
      <c r="C83" s="11"/>
      <c r="D83" s="11" t="s">
        <v>346</v>
      </c>
      <c r="E83" s="11" t="s">
        <v>212</v>
      </c>
      <c r="F83" s="11"/>
      <c r="G83" s="11"/>
      <c r="H83" s="11"/>
      <c r="I83" s="11"/>
      <c r="J83" s="11"/>
      <c r="K83" s="11"/>
      <c r="L83" s="11" t="s">
        <v>290</v>
      </c>
      <c r="M83" s="11"/>
      <c r="N83" s="11"/>
      <c r="O83" s="11">
        <v>414</v>
      </c>
      <c r="P83" s="11">
        <v>0</v>
      </c>
      <c r="Q83" s="11" t="s">
        <v>291</v>
      </c>
    </row>
    <row r="84" spans="1:17" ht="15" customHeight="1" x14ac:dyDescent="0.2">
      <c r="A84" s="11" t="s">
        <v>469</v>
      </c>
      <c r="B84" s="11" t="s">
        <v>470</v>
      </c>
      <c r="C84" s="11"/>
      <c r="D84" s="11" t="s">
        <v>288</v>
      </c>
      <c r="E84" s="11" t="s">
        <v>212</v>
      </c>
      <c r="F84" s="11"/>
      <c r="G84" s="11"/>
      <c r="H84" s="11"/>
      <c r="I84" s="11"/>
      <c r="J84" s="11"/>
      <c r="K84" s="11"/>
      <c r="L84" s="11" t="s">
        <v>290</v>
      </c>
      <c r="M84" s="11"/>
      <c r="N84" s="11"/>
      <c r="O84" s="11">
        <v>415</v>
      </c>
      <c r="P84" s="11">
        <v>0</v>
      </c>
      <c r="Q84" s="11" t="s">
        <v>291</v>
      </c>
    </row>
    <row r="85" spans="1:17" ht="15" customHeight="1" x14ac:dyDescent="0.2">
      <c r="A85" s="11" t="s">
        <v>471</v>
      </c>
      <c r="B85" s="11" t="s">
        <v>472</v>
      </c>
      <c r="C85" s="11"/>
      <c r="D85" s="11" t="s">
        <v>294</v>
      </c>
      <c r="E85" s="11" t="s">
        <v>212</v>
      </c>
      <c r="F85" s="11"/>
      <c r="G85" s="11"/>
      <c r="H85" s="11"/>
      <c r="I85" s="11"/>
      <c r="J85" s="11"/>
      <c r="K85" s="11"/>
      <c r="L85" s="11" t="s">
        <v>290</v>
      </c>
      <c r="M85" s="11"/>
      <c r="N85" s="11"/>
      <c r="O85" s="11">
        <v>416</v>
      </c>
      <c r="P85" s="11">
        <v>0</v>
      </c>
      <c r="Q85" s="11" t="s">
        <v>291</v>
      </c>
    </row>
    <row r="86" spans="1:17" ht="15" customHeight="1" x14ac:dyDescent="0.2">
      <c r="A86" s="11" t="s">
        <v>473</v>
      </c>
      <c r="B86" s="11" t="s">
        <v>474</v>
      </c>
      <c r="C86" s="11"/>
      <c r="D86" s="11" t="s">
        <v>294</v>
      </c>
      <c r="E86" s="11" t="s">
        <v>475</v>
      </c>
      <c r="F86" s="11"/>
      <c r="G86" s="11"/>
      <c r="H86" s="11"/>
      <c r="I86" s="11"/>
      <c r="J86" s="11"/>
      <c r="K86" s="11"/>
      <c r="L86" s="11" t="s">
        <v>290</v>
      </c>
      <c r="M86" s="11"/>
      <c r="N86" s="11"/>
      <c r="O86" s="11">
        <v>910</v>
      </c>
      <c r="P86" s="11">
        <v>0</v>
      </c>
      <c r="Q86" s="11" t="s">
        <v>291</v>
      </c>
    </row>
    <row r="87" spans="1:17" ht="15" customHeight="1" x14ac:dyDescent="0.2">
      <c r="A87" s="11" t="s">
        <v>476</v>
      </c>
      <c r="B87" s="11" t="s">
        <v>477</v>
      </c>
      <c r="C87" s="11"/>
      <c r="D87" s="11" t="s">
        <v>294</v>
      </c>
      <c r="E87" s="11" t="s">
        <v>475</v>
      </c>
      <c r="F87" s="11"/>
      <c r="G87" s="11"/>
      <c r="H87" s="11"/>
      <c r="I87" s="11"/>
      <c r="J87" s="11"/>
      <c r="K87" s="11"/>
      <c r="L87" s="11" t="s">
        <v>290</v>
      </c>
      <c r="M87" s="11"/>
      <c r="N87" s="11"/>
      <c r="O87" s="11">
        <v>911</v>
      </c>
      <c r="P87" s="11">
        <v>0</v>
      </c>
      <c r="Q87" s="11" t="s">
        <v>291</v>
      </c>
    </row>
    <row r="88" spans="1:17" ht="15" customHeight="1" x14ac:dyDescent="0.2">
      <c r="A88" s="11" t="s">
        <v>478</v>
      </c>
      <c r="B88" s="11" t="s">
        <v>479</v>
      </c>
      <c r="C88" s="11"/>
      <c r="D88" s="11" t="s">
        <v>294</v>
      </c>
      <c r="E88" s="11" t="s">
        <v>475</v>
      </c>
      <c r="F88" s="11"/>
      <c r="G88" s="11"/>
      <c r="H88" s="11"/>
      <c r="I88" s="11"/>
      <c r="J88" s="11"/>
      <c r="K88" s="11"/>
      <c r="L88" s="11" t="s">
        <v>290</v>
      </c>
      <c r="M88" s="11"/>
      <c r="N88" s="11"/>
      <c r="O88" s="11">
        <v>912</v>
      </c>
      <c r="P88" s="11">
        <v>0</v>
      </c>
      <c r="Q88" s="11" t="s">
        <v>291</v>
      </c>
    </row>
    <row r="89" spans="1:17" ht="15" customHeight="1" x14ac:dyDescent="0.2">
      <c r="A89" s="11" t="s">
        <v>480</v>
      </c>
      <c r="B89" s="11" t="s">
        <v>481</v>
      </c>
      <c r="C89" s="11"/>
      <c r="D89" s="11" t="s">
        <v>294</v>
      </c>
      <c r="E89" s="11" t="s">
        <v>475</v>
      </c>
      <c r="F89" s="11"/>
      <c r="G89" s="11"/>
      <c r="H89" s="11"/>
      <c r="I89" s="11"/>
      <c r="J89" s="11"/>
      <c r="K89" s="11"/>
      <c r="L89" s="11" t="s">
        <v>290</v>
      </c>
      <c r="M89" s="11"/>
      <c r="N89" s="11"/>
      <c r="O89" s="11">
        <v>913</v>
      </c>
      <c r="P89" s="11">
        <v>0</v>
      </c>
      <c r="Q89" s="11" t="s">
        <v>291</v>
      </c>
    </row>
    <row r="90" spans="1:17" ht="15" customHeight="1" x14ac:dyDescent="0.2">
      <c r="A90" s="11" t="s">
        <v>482</v>
      </c>
      <c r="B90" s="11" t="s">
        <v>483</v>
      </c>
      <c r="C90" s="11"/>
      <c r="D90" s="11" t="s">
        <v>288</v>
      </c>
      <c r="E90" s="11" t="s">
        <v>475</v>
      </c>
      <c r="F90" s="11"/>
      <c r="G90" s="11"/>
      <c r="H90" s="11"/>
      <c r="I90" s="11"/>
      <c r="J90" s="11"/>
      <c r="K90" s="11"/>
      <c r="L90" s="11" t="s">
        <v>290</v>
      </c>
      <c r="M90" s="11"/>
      <c r="N90" s="11"/>
      <c r="O90" s="11">
        <v>914</v>
      </c>
      <c r="P90" s="11">
        <v>0</v>
      </c>
      <c r="Q90" s="11" t="s">
        <v>291</v>
      </c>
    </row>
    <row r="91" spans="1:17" ht="15" customHeight="1" x14ac:dyDescent="0.2">
      <c r="A91" s="11" t="s">
        <v>484</v>
      </c>
      <c r="B91" s="11" t="s">
        <v>485</v>
      </c>
      <c r="C91" s="11"/>
      <c r="D91" s="11" t="s">
        <v>341</v>
      </c>
      <c r="E91" s="11" t="s">
        <v>192</v>
      </c>
      <c r="F91" s="11"/>
      <c r="G91" s="11"/>
      <c r="H91" s="11"/>
      <c r="I91" s="11"/>
      <c r="J91" s="11"/>
      <c r="K91" s="11"/>
      <c r="L91" s="11" t="s">
        <v>290</v>
      </c>
      <c r="M91" s="11"/>
      <c r="N91" s="11"/>
      <c r="O91" s="11">
        <v>350</v>
      </c>
      <c r="P91" s="11">
        <v>7</v>
      </c>
      <c r="Q91" s="11" t="s">
        <v>291</v>
      </c>
    </row>
    <row r="92" spans="1:17" ht="15" customHeight="1" x14ac:dyDescent="0.2">
      <c r="A92" s="11" t="s">
        <v>486</v>
      </c>
      <c r="B92" s="11" t="s">
        <v>487</v>
      </c>
      <c r="C92" s="11"/>
      <c r="D92" s="11" t="s">
        <v>359</v>
      </c>
      <c r="E92" s="11" t="s">
        <v>192</v>
      </c>
      <c r="F92" s="11"/>
      <c r="G92" s="11"/>
      <c r="H92" s="11"/>
      <c r="I92" s="11"/>
      <c r="J92" s="11"/>
      <c r="K92" s="11"/>
      <c r="L92" s="11" t="s">
        <v>290</v>
      </c>
      <c r="M92" s="11"/>
      <c r="N92" s="11"/>
      <c r="O92" s="11">
        <v>351</v>
      </c>
      <c r="P92" s="11">
        <v>0</v>
      </c>
      <c r="Q92" s="11" t="s">
        <v>350</v>
      </c>
    </row>
    <row r="93" spans="1:17" ht="15" customHeight="1" x14ac:dyDescent="0.2">
      <c r="A93" s="11" t="s">
        <v>488</v>
      </c>
      <c r="B93" s="11" t="s">
        <v>489</v>
      </c>
      <c r="C93" s="11"/>
      <c r="D93" s="11" t="s">
        <v>288</v>
      </c>
      <c r="E93" s="11" t="s">
        <v>192</v>
      </c>
      <c r="F93" s="11"/>
      <c r="G93" s="11"/>
      <c r="H93" s="11"/>
      <c r="I93" s="11"/>
      <c r="J93" s="11"/>
      <c r="K93" s="11"/>
      <c r="L93" s="11" t="s">
        <v>290</v>
      </c>
      <c r="M93" s="11"/>
      <c r="N93" s="11"/>
      <c r="O93" s="11">
        <v>352</v>
      </c>
      <c r="P93" s="11">
        <v>0</v>
      </c>
      <c r="Q93" s="11" t="s">
        <v>291</v>
      </c>
    </row>
    <row r="94" spans="1:17" ht="15" customHeight="1" x14ac:dyDescent="0.2">
      <c r="A94" s="11" t="s">
        <v>490</v>
      </c>
      <c r="B94" s="11" t="s">
        <v>491</v>
      </c>
      <c r="C94" s="11"/>
      <c r="D94" s="11" t="s">
        <v>294</v>
      </c>
      <c r="E94" s="11" t="s">
        <v>192</v>
      </c>
      <c r="F94" s="11"/>
      <c r="G94" s="11"/>
      <c r="H94" s="11"/>
      <c r="I94" s="11"/>
      <c r="J94" s="11"/>
      <c r="K94" s="11"/>
      <c r="L94" s="11" t="s">
        <v>290</v>
      </c>
      <c r="M94" s="11"/>
      <c r="N94" s="11"/>
      <c r="O94" s="11">
        <v>353</v>
      </c>
      <c r="P94" s="11">
        <v>0</v>
      </c>
      <c r="Q94" s="11" t="s">
        <v>291</v>
      </c>
    </row>
    <row r="95" spans="1:17" ht="15" customHeight="1" x14ac:dyDescent="0.2">
      <c r="A95" s="11" t="s">
        <v>492</v>
      </c>
      <c r="B95" s="11" t="s">
        <v>493</v>
      </c>
      <c r="C95" s="11"/>
      <c r="D95" s="11" t="s">
        <v>294</v>
      </c>
      <c r="E95" s="11" t="s">
        <v>192</v>
      </c>
      <c r="F95" s="11"/>
      <c r="G95" s="11"/>
      <c r="H95" s="11"/>
      <c r="I95" s="11"/>
      <c r="J95" s="11"/>
      <c r="K95" s="11"/>
      <c r="L95" s="11" t="s">
        <v>290</v>
      </c>
      <c r="M95" s="11"/>
      <c r="N95" s="11"/>
      <c r="O95" s="11">
        <v>354</v>
      </c>
      <c r="P95" s="11">
        <v>0</v>
      </c>
      <c r="Q95" s="11" t="s">
        <v>291</v>
      </c>
    </row>
    <row r="96" spans="1:17" ht="15" customHeight="1" x14ac:dyDescent="0.2">
      <c r="A96" s="11" t="s">
        <v>494</v>
      </c>
      <c r="B96" s="11" t="s">
        <v>495</v>
      </c>
      <c r="C96" s="11"/>
      <c r="D96" s="11" t="s">
        <v>288</v>
      </c>
      <c r="E96" s="11" t="s">
        <v>161</v>
      </c>
      <c r="F96" s="11"/>
      <c r="G96" s="11"/>
      <c r="H96" s="11"/>
      <c r="I96" s="11"/>
      <c r="J96" s="11"/>
      <c r="K96" s="11"/>
      <c r="L96" s="11" t="s">
        <v>290</v>
      </c>
      <c r="M96" s="11"/>
      <c r="N96" s="11"/>
      <c r="O96" s="11">
        <v>490</v>
      </c>
      <c r="P96" s="11">
        <v>0</v>
      </c>
      <c r="Q96" s="11" t="s">
        <v>291</v>
      </c>
    </row>
    <row r="97" spans="1:17" ht="15" customHeight="1" x14ac:dyDescent="0.2">
      <c r="A97" s="11" t="s">
        <v>496</v>
      </c>
      <c r="B97" s="11" t="s">
        <v>497</v>
      </c>
      <c r="C97" s="11"/>
      <c r="D97" s="11" t="s">
        <v>288</v>
      </c>
      <c r="E97" s="11" t="s">
        <v>161</v>
      </c>
      <c r="F97" s="11"/>
      <c r="G97" s="11"/>
      <c r="H97" s="11"/>
      <c r="I97" s="11"/>
      <c r="J97" s="11"/>
      <c r="K97" s="11"/>
      <c r="L97" s="11" t="s">
        <v>290</v>
      </c>
      <c r="M97" s="11"/>
      <c r="N97" s="11"/>
      <c r="O97" s="11">
        <v>491</v>
      </c>
      <c r="P97" s="11">
        <v>0</v>
      </c>
      <c r="Q97" s="11" t="s">
        <v>291</v>
      </c>
    </row>
    <row r="98" spans="1:17" ht="15" customHeight="1" x14ac:dyDescent="0.2">
      <c r="A98" s="11" t="s">
        <v>498</v>
      </c>
      <c r="B98" s="11" t="s">
        <v>499</v>
      </c>
      <c r="C98" s="11"/>
      <c r="D98" s="11" t="s">
        <v>288</v>
      </c>
      <c r="E98" s="11" t="s">
        <v>161</v>
      </c>
      <c r="F98" s="11"/>
      <c r="G98" s="11"/>
      <c r="H98" s="11"/>
      <c r="I98" s="11"/>
      <c r="J98" s="11"/>
      <c r="K98" s="11"/>
      <c r="L98" s="11" t="s">
        <v>290</v>
      </c>
      <c r="M98" s="11"/>
      <c r="N98" s="11"/>
      <c r="O98" s="11">
        <v>492</v>
      </c>
      <c r="P98" s="11">
        <v>0</v>
      </c>
      <c r="Q98" s="11" t="s">
        <v>291</v>
      </c>
    </row>
    <row r="99" spans="1:17" ht="15" customHeight="1" x14ac:dyDescent="0.2">
      <c r="A99" s="11" t="s">
        <v>500</v>
      </c>
      <c r="B99" s="11" t="s">
        <v>501</v>
      </c>
      <c r="C99" s="11"/>
      <c r="D99" s="11" t="s">
        <v>288</v>
      </c>
      <c r="E99" s="11" t="s">
        <v>161</v>
      </c>
      <c r="F99" s="11"/>
      <c r="G99" s="11"/>
      <c r="H99" s="11"/>
      <c r="I99" s="11"/>
      <c r="J99" s="11"/>
      <c r="K99" s="11"/>
      <c r="L99" s="11" t="s">
        <v>290</v>
      </c>
      <c r="M99" s="11"/>
      <c r="N99" s="11"/>
      <c r="O99" s="11">
        <v>493</v>
      </c>
      <c r="P99" s="11">
        <v>0</v>
      </c>
      <c r="Q99" s="11" t="s">
        <v>291</v>
      </c>
    </row>
    <row r="100" spans="1:17" ht="15" customHeight="1" x14ac:dyDescent="0.2">
      <c r="A100" s="11" t="s">
        <v>502</v>
      </c>
      <c r="B100" s="11" t="s">
        <v>503</v>
      </c>
      <c r="C100" s="11"/>
      <c r="D100" s="11" t="s">
        <v>294</v>
      </c>
      <c r="E100" s="11" t="s">
        <v>161</v>
      </c>
      <c r="F100" s="11"/>
      <c r="G100" s="11"/>
      <c r="H100" s="11"/>
      <c r="I100" s="11"/>
      <c r="J100" s="11"/>
      <c r="K100" s="11"/>
      <c r="L100" s="11" t="s">
        <v>290</v>
      </c>
      <c r="M100" s="11"/>
      <c r="N100" s="11"/>
      <c r="O100" s="11">
        <v>494</v>
      </c>
      <c r="P100" s="11">
        <v>0</v>
      </c>
      <c r="Q100" s="11" t="s">
        <v>291</v>
      </c>
    </row>
    <row r="101" spans="1:17" ht="15" customHeight="1" x14ac:dyDescent="0.2">
      <c r="A101" s="11" t="s">
        <v>504</v>
      </c>
      <c r="B101" s="11" t="s">
        <v>505</v>
      </c>
      <c r="C101" s="11"/>
      <c r="D101" s="11" t="s">
        <v>294</v>
      </c>
      <c r="E101" s="11" t="s">
        <v>161</v>
      </c>
      <c r="F101" s="11"/>
      <c r="G101" s="11"/>
      <c r="H101" s="11"/>
      <c r="I101" s="11"/>
      <c r="J101" s="11"/>
      <c r="K101" s="11"/>
      <c r="L101" s="11" t="s">
        <v>290</v>
      </c>
      <c r="M101" s="11"/>
      <c r="N101" s="11"/>
      <c r="O101" s="11">
        <v>495</v>
      </c>
      <c r="P101" s="11">
        <v>0</v>
      </c>
      <c r="Q101" s="11" t="s">
        <v>291</v>
      </c>
    </row>
    <row r="102" spans="1:17" ht="15" customHeight="1" x14ac:dyDescent="0.2">
      <c r="A102" s="11" t="s">
        <v>506</v>
      </c>
      <c r="B102" s="11" t="s">
        <v>507</v>
      </c>
      <c r="C102" s="11"/>
      <c r="D102" s="11" t="s">
        <v>301</v>
      </c>
      <c r="E102" s="11" t="s">
        <v>508</v>
      </c>
      <c r="F102" s="11"/>
      <c r="G102" s="11"/>
      <c r="H102" s="11"/>
      <c r="I102" s="11"/>
      <c r="J102" s="11"/>
      <c r="K102" s="11"/>
      <c r="L102" s="11" t="s">
        <v>290</v>
      </c>
      <c r="M102" s="11"/>
      <c r="N102" s="11"/>
      <c r="O102" s="11">
        <v>890</v>
      </c>
      <c r="P102" s="11">
        <v>0</v>
      </c>
      <c r="Q102" s="11" t="s">
        <v>291</v>
      </c>
    </row>
    <row r="103" spans="1:17" ht="15" customHeight="1" x14ac:dyDescent="0.2">
      <c r="A103" s="11" t="s">
        <v>509</v>
      </c>
      <c r="B103" s="11" t="s">
        <v>510</v>
      </c>
      <c r="C103" s="11"/>
      <c r="D103" s="11" t="s">
        <v>288</v>
      </c>
      <c r="E103" s="11" t="s">
        <v>508</v>
      </c>
      <c r="F103" s="11"/>
      <c r="G103" s="11"/>
      <c r="H103" s="11"/>
      <c r="I103" s="11"/>
      <c r="J103" s="11"/>
      <c r="K103" s="11"/>
      <c r="L103" s="11" t="s">
        <v>290</v>
      </c>
      <c r="M103" s="11"/>
      <c r="N103" s="11"/>
      <c r="O103" s="11">
        <v>891</v>
      </c>
      <c r="P103" s="11">
        <v>0</v>
      </c>
      <c r="Q103" s="11" t="s">
        <v>291</v>
      </c>
    </row>
    <row r="104" spans="1:17" ht="15" customHeight="1" x14ac:dyDescent="0.2">
      <c r="A104" s="11" t="s">
        <v>511</v>
      </c>
      <c r="B104" s="11" t="s">
        <v>512</v>
      </c>
      <c r="C104" s="11"/>
      <c r="D104" s="11" t="s">
        <v>301</v>
      </c>
      <c r="E104" s="11" t="s">
        <v>508</v>
      </c>
      <c r="F104" s="11"/>
      <c r="G104" s="11"/>
      <c r="H104" s="11"/>
      <c r="I104" s="11"/>
      <c r="J104" s="11"/>
      <c r="K104" s="11"/>
      <c r="L104" s="11" t="s">
        <v>290</v>
      </c>
      <c r="M104" s="11"/>
      <c r="N104" s="11"/>
      <c r="O104" s="11">
        <v>892</v>
      </c>
      <c r="P104" s="11">
        <v>0</v>
      </c>
      <c r="Q104" s="11" t="s">
        <v>291</v>
      </c>
    </row>
    <row r="105" spans="1:17" ht="15" customHeight="1" x14ac:dyDescent="0.2">
      <c r="A105" s="11" t="s">
        <v>513</v>
      </c>
      <c r="B105" s="11" t="s">
        <v>514</v>
      </c>
      <c r="C105" s="11"/>
      <c r="D105" s="11" t="s">
        <v>288</v>
      </c>
      <c r="E105" s="11" t="s">
        <v>508</v>
      </c>
      <c r="F105" s="11"/>
      <c r="G105" s="11"/>
      <c r="H105" s="11"/>
      <c r="I105" s="11"/>
      <c r="J105" s="11"/>
      <c r="K105" s="11"/>
      <c r="L105" s="11" t="s">
        <v>290</v>
      </c>
      <c r="M105" s="11"/>
      <c r="N105" s="11"/>
      <c r="O105" s="11">
        <v>893</v>
      </c>
      <c r="P105" s="11">
        <v>0</v>
      </c>
      <c r="Q105" s="11" t="s">
        <v>291</v>
      </c>
    </row>
    <row r="106" spans="1:17" ht="15" customHeight="1" x14ac:dyDescent="0.2">
      <c r="A106" s="11" t="s">
        <v>515</v>
      </c>
      <c r="B106" s="11" t="s">
        <v>516</v>
      </c>
      <c r="C106" s="11"/>
      <c r="D106" s="11" t="s">
        <v>294</v>
      </c>
      <c r="E106" s="11" t="s">
        <v>508</v>
      </c>
      <c r="F106" s="11"/>
      <c r="G106" s="11"/>
      <c r="H106" s="11"/>
      <c r="I106" s="11"/>
      <c r="J106" s="11"/>
      <c r="K106" s="11"/>
      <c r="L106" s="11" t="s">
        <v>290</v>
      </c>
      <c r="M106" s="11"/>
      <c r="N106" s="11"/>
      <c r="O106" s="11">
        <v>894</v>
      </c>
      <c r="P106" s="11">
        <v>0</v>
      </c>
      <c r="Q106" s="11" t="s">
        <v>291</v>
      </c>
    </row>
    <row r="107" spans="1:17" ht="15" customHeight="1" x14ac:dyDescent="0.2">
      <c r="A107" s="11" t="s">
        <v>517</v>
      </c>
      <c r="B107" s="11" t="s">
        <v>518</v>
      </c>
      <c r="C107" s="11"/>
      <c r="D107" s="11" t="s">
        <v>288</v>
      </c>
      <c r="E107" s="11" t="s">
        <v>115</v>
      </c>
      <c r="F107" s="11"/>
      <c r="G107" s="11"/>
      <c r="H107" s="11"/>
      <c r="I107" s="11"/>
      <c r="J107" s="11"/>
      <c r="K107" s="11"/>
      <c r="L107" s="11" t="s">
        <v>290</v>
      </c>
      <c r="M107" s="11"/>
      <c r="N107" s="11"/>
      <c r="O107" s="11">
        <v>590</v>
      </c>
      <c r="P107" s="11">
        <v>0</v>
      </c>
      <c r="Q107" s="11" t="s">
        <v>291</v>
      </c>
    </row>
    <row r="108" spans="1:17" ht="15" customHeight="1" x14ac:dyDescent="0.2">
      <c r="A108" s="11" t="s">
        <v>519</v>
      </c>
      <c r="B108" s="11" t="s">
        <v>520</v>
      </c>
      <c r="C108" s="11"/>
      <c r="D108" s="11" t="s">
        <v>294</v>
      </c>
      <c r="E108" s="11" t="s">
        <v>115</v>
      </c>
      <c r="F108" s="11"/>
      <c r="G108" s="11"/>
      <c r="H108" s="11"/>
      <c r="I108" s="11"/>
      <c r="J108" s="11"/>
      <c r="K108" s="11"/>
      <c r="L108" s="11" t="s">
        <v>290</v>
      </c>
      <c r="M108" s="11"/>
      <c r="N108" s="11"/>
      <c r="O108" s="11">
        <v>591</v>
      </c>
      <c r="P108" s="11">
        <v>0</v>
      </c>
      <c r="Q108" s="11" t="s">
        <v>291</v>
      </c>
    </row>
    <row r="109" spans="1:17" ht="15" customHeight="1" x14ac:dyDescent="0.2">
      <c r="A109" s="11" t="s">
        <v>521</v>
      </c>
      <c r="B109" s="11" t="s">
        <v>522</v>
      </c>
      <c r="C109" s="11"/>
      <c r="D109" s="11" t="s">
        <v>294</v>
      </c>
      <c r="E109" s="11" t="s">
        <v>115</v>
      </c>
      <c r="F109" s="11"/>
      <c r="G109" s="11"/>
      <c r="H109" s="11"/>
      <c r="I109" s="11"/>
      <c r="J109" s="11"/>
      <c r="K109" s="11"/>
      <c r="L109" s="11" t="s">
        <v>290</v>
      </c>
      <c r="M109" s="11"/>
      <c r="N109" s="11"/>
      <c r="O109" s="11">
        <v>592</v>
      </c>
      <c r="P109" s="11">
        <v>0</v>
      </c>
      <c r="Q109" s="11" t="s">
        <v>291</v>
      </c>
    </row>
    <row r="110" spans="1:17" ht="15" customHeight="1" x14ac:dyDescent="0.2">
      <c r="A110" s="11" t="s">
        <v>523</v>
      </c>
      <c r="B110" s="11" t="s">
        <v>524</v>
      </c>
      <c r="C110" s="11"/>
      <c r="D110" s="11" t="s">
        <v>288</v>
      </c>
      <c r="E110" s="11" t="s">
        <v>525</v>
      </c>
      <c r="F110" s="11"/>
      <c r="G110" s="11"/>
      <c r="H110" s="11"/>
      <c r="I110" s="11"/>
      <c r="J110" s="11"/>
      <c r="K110" s="11"/>
      <c r="L110" s="11" t="s">
        <v>290</v>
      </c>
      <c r="M110" s="11"/>
      <c r="N110" s="11"/>
      <c r="O110" s="11">
        <v>850</v>
      </c>
      <c r="P110" s="11">
        <v>0</v>
      </c>
      <c r="Q110" s="11" t="s">
        <v>291</v>
      </c>
    </row>
    <row r="111" spans="1:17" ht="15" customHeight="1" x14ac:dyDescent="0.2">
      <c r="A111" s="11" t="s">
        <v>526</v>
      </c>
      <c r="B111" s="11" t="s">
        <v>527</v>
      </c>
      <c r="C111" s="11"/>
      <c r="D111" s="11" t="s">
        <v>288</v>
      </c>
      <c r="E111" s="11" t="s">
        <v>525</v>
      </c>
      <c r="F111" s="11"/>
      <c r="G111" s="11"/>
      <c r="H111" s="11"/>
      <c r="I111" s="11"/>
      <c r="J111" s="11"/>
      <c r="K111" s="11"/>
      <c r="L111" s="11" t="s">
        <v>290</v>
      </c>
      <c r="M111" s="11"/>
      <c r="N111" s="11"/>
      <c r="O111" s="11">
        <v>851</v>
      </c>
      <c r="P111" s="11">
        <v>0</v>
      </c>
      <c r="Q111" s="11" t="s">
        <v>291</v>
      </c>
    </row>
    <row r="112" spans="1:17" ht="15" customHeight="1" x14ac:dyDescent="0.2">
      <c r="A112" s="11" t="s">
        <v>528</v>
      </c>
      <c r="B112" s="11" t="s">
        <v>529</v>
      </c>
      <c r="C112" s="11"/>
      <c r="D112" s="11" t="s">
        <v>294</v>
      </c>
      <c r="E112" s="11" t="s">
        <v>525</v>
      </c>
      <c r="F112" s="11"/>
      <c r="G112" s="11"/>
      <c r="H112" s="11"/>
      <c r="I112" s="11"/>
      <c r="J112" s="11"/>
      <c r="K112" s="11"/>
      <c r="L112" s="11" t="s">
        <v>290</v>
      </c>
      <c r="M112" s="11"/>
      <c r="N112" s="11"/>
      <c r="O112" s="11">
        <v>852</v>
      </c>
      <c r="P112" s="11">
        <v>0</v>
      </c>
      <c r="Q112" s="11" t="s">
        <v>291</v>
      </c>
    </row>
    <row r="113" spans="1:17" ht="15" customHeight="1" x14ac:dyDescent="0.2">
      <c r="A113" s="11" t="s">
        <v>530</v>
      </c>
      <c r="B113" s="11" t="s">
        <v>531</v>
      </c>
      <c r="C113" s="11"/>
      <c r="D113" s="11" t="s">
        <v>294</v>
      </c>
      <c r="E113" s="11" t="s">
        <v>525</v>
      </c>
      <c r="F113" s="11"/>
      <c r="G113" s="11"/>
      <c r="H113" s="11"/>
      <c r="I113" s="11"/>
      <c r="J113" s="11"/>
      <c r="K113" s="11"/>
      <c r="L113" s="11" t="s">
        <v>290</v>
      </c>
      <c r="M113" s="11"/>
      <c r="N113" s="11"/>
      <c r="O113" s="11">
        <v>853</v>
      </c>
      <c r="P113" s="11">
        <v>0</v>
      </c>
      <c r="Q113" s="11" t="s">
        <v>291</v>
      </c>
    </row>
    <row r="114" spans="1:17" ht="15" customHeight="1" x14ac:dyDescent="0.2">
      <c r="A114" s="11" t="s">
        <v>532</v>
      </c>
      <c r="B114" s="11" t="s">
        <v>533</v>
      </c>
      <c r="C114" s="11"/>
      <c r="D114" s="11" t="s">
        <v>301</v>
      </c>
      <c r="E114" s="11" t="s">
        <v>525</v>
      </c>
      <c r="F114" s="11"/>
      <c r="G114" s="11"/>
      <c r="H114" s="11"/>
      <c r="I114" s="11"/>
      <c r="J114" s="11"/>
      <c r="K114" s="11"/>
      <c r="L114" s="11" t="s">
        <v>290</v>
      </c>
      <c r="M114" s="11"/>
      <c r="N114" s="11"/>
      <c r="O114" s="11">
        <v>854</v>
      </c>
      <c r="P114" s="11">
        <v>0</v>
      </c>
      <c r="Q114" s="11" t="s">
        <v>291</v>
      </c>
    </row>
    <row r="115" spans="1:17" ht="15" customHeight="1" x14ac:dyDescent="0.2">
      <c r="A115" s="11" t="s">
        <v>534</v>
      </c>
      <c r="B115" s="11" t="s">
        <v>535</v>
      </c>
      <c r="C115" s="11"/>
      <c r="D115" s="11" t="s">
        <v>294</v>
      </c>
      <c r="E115" s="11" t="s">
        <v>525</v>
      </c>
      <c r="F115" s="11"/>
      <c r="G115" s="11"/>
      <c r="H115" s="11"/>
      <c r="I115" s="11"/>
      <c r="J115" s="11"/>
      <c r="K115" s="11"/>
      <c r="L115" s="11" t="s">
        <v>290</v>
      </c>
      <c r="M115" s="11"/>
      <c r="N115" s="11"/>
      <c r="O115" s="11">
        <v>855</v>
      </c>
      <c r="P115" s="11">
        <v>0</v>
      </c>
      <c r="Q115" s="11" t="s">
        <v>291</v>
      </c>
    </row>
    <row r="116" spans="1:17" ht="15" customHeight="1" x14ac:dyDescent="0.2">
      <c r="A116" s="11" t="s">
        <v>536</v>
      </c>
      <c r="B116" s="11" t="s">
        <v>537</v>
      </c>
      <c r="C116" s="11"/>
      <c r="D116" s="11" t="s">
        <v>288</v>
      </c>
      <c r="E116" s="11" t="s">
        <v>538</v>
      </c>
      <c r="F116" s="11"/>
      <c r="G116" s="11"/>
      <c r="H116" s="11"/>
      <c r="I116" s="11"/>
      <c r="J116" s="11"/>
      <c r="K116" s="11"/>
      <c r="L116" s="11" t="s">
        <v>290</v>
      </c>
      <c r="M116" s="11"/>
      <c r="N116" s="11"/>
      <c r="O116" s="11">
        <v>800</v>
      </c>
      <c r="P116" s="11">
        <v>0</v>
      </c>
      <c r="Q116" s="11" t="s">
        <v>291</v>
      </c>
    </row>
    <row r="117" spans="1:17" ht="15" customHeight="1" x14ac:dyDescent="0.2">
      <c r="A117" s="11" t="s">
        <v>539</v>
      </c>
      <c r="B117" s="11" t="s">
        <v>540</v>
      </c>
      <c r="C117" s="11"/>
      <c r="D117" s="11" t="s">
        <v>288</v>
      </c>
      <c r="E117" s="11" t="s">
        <v>538</v>
      </c>
      <c r="F117" s="11"/>
      <c r="G117" s="11"/>
      <c r="H117" s="11"/>
      <c r="I117" s="11"/>
      <c r="J117" s="11"/>
      <c r="K117" s="11"/>
      <c r="L117" s="11" t="s">
        <v>290</v>
      </c>
      <c r="M117" s="11"/>
      <c r="N117" s="11"/>
      <c r="O117" s="11">
        <v>801</v>
      </c>
      <c r="P117" s="11">
        <v>0</v>
      </c>
      <c r="Q117" s="11" t="s">
        <v>291</v>
      </c>
    </row>
    <row r="118" spans="1:17" ht="15" customHeight="1" x14ac:dyDescent="0.2">
      <c r="A118" s="11" t="s">
        <v>541</v>
      </c>
      <c r="B118" s="11" t="s">
        <v>542</v>
      </c>
      <c r="C118" s="11"/>
      <c r="D118" s="11" t="s">
        <v>294</v>
      </c>
      <c r="E118" s="11" t="s">
        <v>538</v>
      </c>
      <c r="F118" s="11"/>
      <c r="G118" s="11"/>
      <c r="H118" s="11"/>
      <c r="I118" s="11"/>
      <c r="J118" s="11"/>
      <c r="K118" s="11"/>
      <c r="L118" s="11" t="s">
        <v>290</v>
      </c>
      <c r="M118" s="11"/>
      <c r="N118" s="11"/>
      <c r="O118" s="11">
        <v>802</v>
      </c>
      <c r="P118" s="11">
        <v>0</v>
      </c>
      <c r="Q118" s="11" t="s">
        <v>291</v>
      </c>
    </row>
    <row r="119" spans="1:17" ht="15" customHeight="1" x14ac:dyDescent="0.2">
      <c r="A119" s="11" t="s">
        <v>543</v>
      </c>
      <c r="B119" s="11" t="s">
        <v>544</v>
      </c>
      <c r="C119" s="11"/>
      <c r="D119" s="11" t="s">
        <v>294</v>
      </c>
      <c r="E119" s="11" t="s">
        <v>538</v>
      </c>
      <c r="F119" s="11"/>
      <c r="G119" s="11"/>
      <c r="H119" s="11"/>
      <c r="I119" s="11"/>
      <c r="J119" s="11"/>
      <c r="K119" s="11"/>
      <c r="L119" s="11" t="s">
        <v>290</v>
      </c>
      <c r="M119" s="11"/>
      <c r="N119" s="11"/>
      <c r="O119" s="11">
        <v>803</v>
      </c>
      <c r="P119" s="11">
        <v>0</v>
      </c>
      <c r="Q119" s="11" t="s">
        <v>291</v>
      </c>
    </row>
    <row r="120" spans="1:17" ht="15" customHeight="1" x14ac:dyDescent="0.2">
      <c r="A120" s="11" t="s">
        <v>545</v>
      </c>
      <c r="B120" s="11" t="s">
        <v>546</v>
      </c>
      <c r="C120" s="11"/>
      <c r="D120" s="11" t="s">
        <v>294</v>
      </c>
      <c r="E120" s="11" t="s">
        <v>538</v>
      </c>
      <c r="F120" s="11"/>
      <c r="G120" s="11"/>
      <c r="H120" s="11"/>
      <c r="I120" s="11"/>
      <c r="J120" s="11"/>
      <c r="K120" s="11"/>
      <c r="L120" s="11" t="s">
        <v>290</v>
      </c>
      <c r="M120" s="11"/>
      <c r="N120" s="11"/>
      <c r="O120" s="11">
        <v>804</v>
      </c>
      <c r="P120" s="11">
        <v>0</v>
      </c>
      <c r="Q120" s="11" t="s">
        <v>291</v>
      </c>
    </row>
    <row r="121" spans="1:17" ht="15" customHeight="1" x14ac:dyDescent="0.2">
      <c r="A121" s="11" t="s">
        <v>547</v>
      </c>
      <c r="B121" s="11" t="s">
        <v>548</v>
      </c>
      <c r="C121" s="11"/>
      <c r="D121" s="11" t="s">
        <v>294</v>
      </c>
      <c r="E121" s="11" t="s">
        <v>538</v>
      </c>
      <c r="F121" s="11"/>
      <c r="G121" s="11"/>
      <c r="H121" s="11"/>
      <c r="I121" s="11"/>
      <c r="J121" s="11"/>
      <c r="K121" s="11"/>
      <c r="L121" s="11" t="s">
        <v>290</v>
      </c>
      <c r="M121" s="11"/>
      <c r="N121" s="11"/>
      <c r="O121" s="11">
        <v>805</v>
      </c>
      <c r="P121" s="11">
        <v>0</v>
      </c>
      <c r="Q121" s="11" t="s">
        <v>291</v>
      </c>
    </row>
    <row r="122" spans="1:17" ht="15" customHeight="1" x14ac:dyDescent="0.2">
      <c r="A122" s="11" t="s">
        <v>549</v>
      </c>
      <c r="B122" s="11" t="s">
        <v>550</v>
      </c>
      <c r="C122" s="11"/>
      <c r="D122" s="11" t="s">
        <v>294</v>
      </c>
      <c r="E122" s="11" t="s">
        <v>538</v>
      </c>
      <c r="F122" s="11"/>
      <c r="G122" s="11"/>
      <c r="H122" s="11"/>
      <c r="I122" s="11"/>
      <c r="J122" s="11"/>
      <c r="K122" s="11"/>
      <c r="L122" s="11" t="s">
        <v>290</v>
      </c>
      <c r="M122" s="11"/>
      <c r="N122" s="11"/>
      <c r="O122" s="11">
        <v>806</v>
      </c>
      <c r="P122" s="11">
        <v>0</v>
      </c>
      <c r="Q122" s="11" t="s">
        <v>291</v>
      </c>
    </row>
    <row r="123" spans="1:17" ht="15" customHeight="1" x14ac:dyDescent="0.2">
      <c r="A123" s="11" t="s">
        <v>551</v>
      </c>
      <c r="B123" s="11" t="s">
        <v>552</v>
      </c>
      <c r="C123" s="11"/>
      <c r="D123" s="11" t="s">
        <v>288</v>
      </c>
      <c r="E123" s="11" t="s">
        <v>538</v>
      </c>
      <c r="F123" s="11"/>
      <c r="G123" s="11"/>
      <c r="H123" s="11"/>
      <c r="I123" s="11"/>
      <c r="J123" s="11"/>
      <c r="K123" s="11"/>
      <c r="L123" s="11" t="s">
        <v>290</v>
      </c>
      <c r="M123" s="11"/>
      <c r="N123" s="11"/>
      <c r="O123" s="11">
        <v>807</v>
      </c>
      <c r="P123" s="11">
        <v>0</v>
      </c>
      <c r="Q123" s="11" t="s">
        <v>291</v>
      </c>
    </row>
    <row r="124" spans="1:17" ht="15" customHeight="1" x14ac:dyDescent="0.2">
      <c r="A124" s="11" t="s">
        <v>553</v>
      </c>
      <c r="B124" s="11" t="s">
        <v>554</v>
      </c>
      <c r="C124" s="11"/>
      <c r="D124" s="11" t="s">
        <v>294</v>
      </c>
      <c r="E124" s="11" t="s">
        <v>538</v>
      </c>
      <c r="F124" s="11"/>
      <c r="G124" s="11"/>
      <c r="H124" s="11"/>
      <c r="I124" s="11"/>
      <c r="J124" s="11"/>
      <c r="K124" s="11"/>
      <c r="L124" s="11" t="s">
        <v>290</v>
      </c>
      <c r="M124" s="11"/>
      <c r="N124" s="11"/>
      <c r="O124" s="11">
        <v>808</v>
      </c>
      <c r="P124" s="11">
        <v>0</v>
      </c>
      <c r="Q124" s="11" t="s">
        <v>291</v>
      </c>
    </row>
    <row r="125" spans="1:17" ht="15" customHeight="1" x14ac:dyDescent="0.2">
      <c r="A125" s="11" t="s">
        <v>555</v>
      </c>
      <c r="B125" s="11" t="s">
        <v>556</v>
      </c>
      <c r="C125" s="11"/>
      <c r="D125" s="11" t="s">
        <v>294</v>
      </c>
      <c r="E125" s="11" t="s">
        <v>538</v>
      </c>
      <c r="F125" s="11"/>
      <c r="G125" s="11"/>
      <c r="H125" s="11"/>
      <c r="I125" s="11"/>
      <c r="J125" s="11"/>
      <c r="K125" s="11"/>
      <c r="L125" s="11" t="s">
        <v>290</v>
      </c>
      <c r="M125" s="11"/>
      <c r="N125" s="11"/>
      <c r="O125" s="11">
        <v>809</v>
      </c>
      <c r="P125" s="11">
        <v>0</v>
      </c>
      <c r="Q125" s="11" t="s">
        <v>291</v>
      </c>
    </row>
    <row r="126" spans="1:17" ht="15" customHeight="1" x14ac:dyDescent="0.2">
      <c r="A126" s="11" t="s">
        <v>557</v>
      </c>
      <c r="B126" s="11" t="s">
        <v>558</v>
      </c>
      <c r="C126" s="11"/>
      <c r="D126" s="11" t="s">
        <v>288</v>
      </c>
      <c r="E126" s="11" t="s">
        <v>538</v>
      </c>
      <c r="F126" s="11"/>
      <c r="G126" s="11"/>
      <c r="H126" s="11"/>
      <c r="I126" s="11"/>
      <c r="J126" s="11"/>
      <c r="K126" s="11"/>
      <c r="L126" s="11" t="s">
        <v>290</v>
      </c>
      <c r="M126" s="11"/>
      <c r="N126" s="11"/>
      <c r="O126" s="11">
        <v>810</v>
      </c>
      <c r="P126" s="11">
        <v>0</v>
      </c>
      <c r="Q126" s="11" t="s">
        <v>291</v>
      </c>
    </row>
    <row r="127" spans="1:17" ht="15" customHeight="1" x14ac:dyDescent="0.2">
      <c r="A127" s="11" t="s">
        <v>559</v>
      </c>
      <c r="B127" s="11" t="s">
        <v>560</v>
      </c>
      <c r="C127" s="11"/>
      <c r="D127" s="11" t="s">
        <v>288</v>
      </c>
      <c r="E127" s="11" t="s">
        <v>538</v>
      </c>
      <c r="F127" s="11"/>
      <c r="G127" s="11"/>
      <c r="H127" s="11"/>
      <c r="I127" s="11"/>
      <c r="J127" s="11"/>
      <c r="K127" s="11"/>
      <c r="L127" s="11" t="s">
        <v>290</v>
      </c>
      <c r="M127" s="11"/>
      <c r="N127" s="11"/>
      <c r="O127" s="11">
        <v>811</v>
      </c>
      <c r="P127" s="11">
        <v>0</v>
      </c>
      <c r="Q127" s="11" t="s">
        <v>291</v>
      </c>
    </row>
    <row r="128" spans="1:17" ht="15" customHeight="1" x14ac:dyDescent="0.2">
      <c r="A128" s="11" t="s">
        <v>561</v>
      </c>
      <c r="B128" s="11" t="s">
        <v>562</v>
      </c>
      <c r="C128" s="11"/>
      <c r="D128" s="11" t="s">
        <v>294</v>
      </c>
      <c r="E128" s="11" t="s">
        <v>538</v>
      </c>
      <c r="F128" s="11"/>
      <c r="G128" s="11"/>
      <c r="H128" s="11"/>
      <c r="I128" s="11"/>
      <c r="J128" s="11"/>
      <c r="K128" s="11"/>
      <c r="L128" s="11" t="s">
        <v>290</v>
      </c>
      <c r="M128" s="11"/>
      <c r="N128" s="11"/>
      <c r="O128" s="11">
        <v>812</v>
      </c>
      <c r="P128" s="11">
        <v>0</v>
      </c>
      <c r="Q128" s="11" t="s">
        <v>291</v>
      </c>
    </row>
    <row r="129" spans="1:17" ht="15" customHeight="1" x14ac:dyDescent="0.2">
      <c r="A129" s="11" t="s">
        <v>563</v>
      </c>
      <c r="B129" s="11" t="s">
        <v>564</v>
      </c>
      <c r="C129" s="11"/>
      <c r="D129" s="11" t="s">
        <v>294</v>
      </c>
      <c r="E129" s="11" t="s">
        <v>538</v>
      </c>
      <c r="F129" s="11"/>
      <c r="G129" s="11"/>
      <c r="H129" s="11"/>
      <c r="I129" s="11"/>
      <c r="J129" s="11"/>
      <c r="K129" s="11"/>
      <c r="L129" s="11" t="s">
        <v>290</v>
      </c>
      <c r="M129" s="11"/>
      <c r="N129" s="11"/>
      <c r="O129" s="11">
        <v>813</v>
      </c>
      <c r="P129" s="11">
        <v>0</v>
      </c>
      <c r="Q129" s="11" t="s">
        <v>291</v>
      </c>
    </row>
    <row r="130" spans="1:17" ht="15" customHeight="1" x14ac:dyDescent="0.2">
      <c r="A130" s="11" t="s">
        <v>565</v>
      </c>
      <c r="B130" s="11" t="s">
        <v>566</v>
      </c>
      <c r="C130" s="11"/>
      <c r="D130" s="11" t="s">
        <v>294</v>
      </c>
      <c r="E130" s="11" t="s">
        <v>538</v>
      </c>
      <c r="F130" s="11"/>
      <c r="G130" s="11"/>
      <c r="H130" s="11"/>
      <c r="I130" s="11"/>
      <c r="J130" s="11"/>
      <c r="K130" s="11"/>
      <c r="L130" s="11" t="s">
        <v>290</v>
      </c>
      <c r="M130" s="11"/>
      <c r="N130" s="11"/>
      <c r="O130" s="11">
        <v>814</v>
      </c>
      <c r="P130" s="11">
        <v>0</v>
      </c>
      <c r="Q130" s="11" t="s">
        <v>291</v>
      </c>
    </row>
    <row r="131" spans="1:17" ht="15" customHeight="1" x14ac:dyDescent="0.2">
      <c r="A131" s="11" t="s">
        <v>567</v>
      </c>
      <c r="B131" s="11" t="s">
        <v>568</v>
      </c>
      <c r="C131" s="11"/>
      <c r="D131" s="11" t="s">
        <v>294</v>
      </c>
      <c r="E131" s="11" t="s">
        <v>538</v>
      </c>
      <c r="F131" s="11"/>
      <c r="G131" s="11"/>
      <c r="H131" s="11"/>
      <c r="I131" s="11"/>
      <c r="J131" s="11"/>
      <c r="K131" s="11"/>
      <c r="L131" s="11" t="s">
        <v>290</v>
      </c>
      <c r="M131" s="11"/>
      <c r="N131" s="11"/>
      <c r="O131" s="11">
        <v>815</v>
      </c>
      <c r="P131" s="11">
        <v>0</v>
      </c>
      <c r="Q131" s="11" t="s">
        <v>291</v>
      </c>
    </row>
    <row r="132" spans="1:17" ht="15" customHeight="1" x14ac:dyDescent="0.2">
      <c r="A132" s="11" t="s">
        <v>569</v>
      </c>
      <c r="B132" s="11" t="s">
        <v>570</v>
      </c>
      <c r="C132" s="11"/>
      <c r="D132" s="11" t="s">
        <v>301</v>
      </c>
      <c r="E132" s="11" t="s">
        <v>538</v>
      </c>
      <c r="F132" s="11"/>
      <c r="G132" s="11"/>
      <c r="H132" s="11"/>
      <c r="I132" s="11"/>
      <c r="J132" s="11"/>
      <c r="K132" s="11"/>
      <c r="L132" s="11" t="s">
        <v>290</v>
      </c>
      <c r="M132" s="11"/>
      <c r="N132" s="11"/>
      <c r="O132" s="11">
        <v>816</v>
      </c>
      <c r="P132" s="11">
        <v>0</v>
      </c>
      <c r="Q132" s="11" t="s">
        <v>291</v>
      </c>
    </row>
    <row r="133" spans="1:17" ht="15" customHeight="1" x14ac:dyDescent="0.2">
      <c r="A133" s="11" t="s">
        <v>571</v>
      </c>
      <c r="B133" s="11" t="s">
        <v>572</v>
      </c>
      <c r="C133" s="11"/>
      <c r="D133" s="11" t="s">
        <v>288</v>
      </c>
      <c r="E133" s="11" t="s">
        <v>538</v>
      </c>
      <c r="F133" s="11"/>
      <c r="G133" s="11"/>
      <c r="H133" s="11"/>
      <c r="I133" s="11"/>
      <c r="J133" s="11"/>
      <c r="K133" s="11"/>
      <c r="L133" s="11" t="s">
        <v>290</v>
      </c>
      <c r="M133" s="11"/>
      <c r="N133" s="11"/>
      <c r="O133" s="11">
        <v>817</v>
      </c>
      <c r="P133" s="11">
        <v>0</v>
      </c>
      <c r="Q133" s="11" t="s">
        <v>291</v>
      </c>
    </row>
    <row r="134" spans="1:17" ht="15" customHeight="1" x14ac:dyDescent="0.2">
      <c r="A134" s="11" t="s">
        <v>573</v>
      </c>
      <c r="B134" s="11" t="s">
        <v>574</v>
      </c>
      <c r="C134" s="11"/>
      <c r="D134" s="11" t="s">
        <v>288</v>
      </c>
      <c r="E134" s="11" t="s">
        <v>538</v>
      </c>
      <c r="F134" s="11"/>
      <c r="G134" s="11"/>
      <c r="H134" s="11"/>
      <c r="I134" s="11"/>
      <c r="J134" s="11"/>
      <c r="K134" s="11"/>
      <c r="L134" s="11" t="s">
        <v>290</v>
      </c>
      <c r="M134" s="11"/>
      <c r="N134" s="11"/>
      <c r="O134" s="11">
        <v>818</v>
      </c>
      <c r="P134" s="11">
        <v>0</v>
      </c>
      <c r="Q134" s="11" t="s">
        <v>291</v>
      </c>
    </row>
    <row r="135" spans="1:17" ht="15" customHeight="1" x14ac:dyDescent="0.2">
      <c r="A135" s="11" t="s">
        <v>575</v>
      </c>
      <c r="B135" s="11" t="s">
        <v>576</v>
      </c>
      <c r="C135" s="11"/>
      <c r="D135" s="11" t="s">
        <v>359</v>
      </c>
      <c r="E135" s="11" t="s">
        <v>538</v>
      </c>
      <c r="F135" s="11"/>
      <c r="G135" s="11"/>
      <c r="H135" s="11"/>
      <c r="I135" s="11"/>
      <c r="J135" s="11"/>
      <c r="K135" s="11"/>
      <c r="L135" s="11" t="s">
        <v>290</v>
      </c>
      <c r="M135" s="11"/>
      <c r="N135" s="11"/>
      <c r="O135" s="11">
        <v>819</v>
      </c>
      <c r="P135" s="11">
        <v>0</v>
      </c>
      <c r="Q135" s="11" t="s">
        <v>350</v>
      </c>
    </row>
    <row r="136" spans="1:17" ht="15" customHeight="1" x14ac:dyDescent="0.2">
      <c r="A136" s="11" t="s">
        <v>577</v>
      </c>
      <c r="B136" s="11" t="s">
        <v>578</v>
      </c>
      <c r="C136" s="11"/>
      <c r="D136" s="11" t="s">
        <v>288</v>
      </c>
      <c r="E136" s="11" t="s">
        <v>538</v>
      </c>
      <c r="F136" s="11"/>
      <c r="G136" s="11"/>
      <c r="H136" s="11"/>
      <c r="I136" s="11"/>
      <c r="J136" s="11"/>
      <c r="K136" s="11"/>
      <c r="L136" s="11" t="s">
        <v>290</v>
      </c>
      <c r="M136" s="11"/>
      <c r="N136" s="11"/>
      <c r="O136" s="11">
        <v>820</v>
      </c>
      <c r="P136" s="11">
        <v>0</v>
      </c>
      <c r="Q136" s="11" t="s">
        <v>291</v>
      </c>
    </row>
    <row r="137" spans="1:17" ht="15" customHeight="1" x14ac:dyDescent="0.2">
      <c r="A137" s="11" t="s">
        <v>579</v>
      </c>
      <c r="B137" s="11" t="s">
        <v>580</v>
      </c>
      <c r="C137" s="11"/>
      <c r="D137" s="11" t="s">
        <v>288</v>
      </c>
      <c r="E137" s="11" t="s">
        <v>538</v>
      </c>
      <c r="F137" s="11"/>
      <c r="G137" s="11"/>
      <c r="H137" s="11"/>
      <c r="I137" s="11"/>
      <c r="J137" s="11"/>
      <c r="K137" s="11"/>
      <c r="L137" s="11" t="s">
        <v>290</v>
      </c>
      <c r="M137" s="11"/>
      <c r="N137" s="11"/>
      <c r="O137" s="11">
        <v>821</v>
      </c>
      <c r="P137" s="11">
        <v>0</v>
      </c>
      <c r="Q137" s="11" t="s">
        <v>291</v>
      </c>
    </row>
    <row r="138" spans="1:17" ht="15" customHeight="1" x14ac:dyDescent="0.2">
      <c r="A138" s="11" t="s">
        <v>581</v>
      </c>
      <c r="B138" s="11" t="s">
        <v>582</v>
      </c>
      <c r="C138" s="11"/>
      <c r="D138" s="11" t="s">
        <v>294</v>
      </c>
      <c r="E138" s="11" t="s">
        <v>538</v>
      </c>
      <c r="F138" s="11"/>
      <c r="G138" s="11"/>
      <c r="H138" s="11"/>
      <c r="I138" s="11"/>
      <c r="J138" s="11"/>
      <c r="K138" s="11"/>
      <c r="L138" s="11" t="s">
        <v>290</v>
      </c>
      <c r="M138" s="11"/>
      <c r="N138" s="11"/>
      <c r="O138" s="11">
        <v>822</v>
      </c>
      <c r="P138" s="11">
        <v>0</v>
      </c>
      <c r="Q138" s="11" t="s">
        <v>291</v>
      </c>
    </row>
    <row r="139" spans="1:17" ht="15" customHeight="1" x14ac:dyDescent="0.2">
      <c r="A139" s="11" t="s">
        <v>583</v>
      </c>
      <c r="B139" s="11" t="s">
        <v>584</v>
      </c>
      <c r="C139" s="11"/>
      <c r="D139" s="11" t="s">
        <v>294</v>
      </c>
      <c r="E139" s="11" t="s">
        <v>538</v>
      </c>
      <c r="F139" s="11"/>
      <c r="G139" s="11"/>
      <c r="H139" s="11"/>
      <c r="I139" s="11"/>
      <c r="J139" s="11"/>
      <c r="K139" s="11"/>
      <c r="L139" s="11" t="s">
        <v>290</v>
      </c>
      <c r="M139" s="11"/>
      <c r="N139" s="11"/>
      <c r="O139" s="11">
        <v>823</v>
      </c>
      <c r="P139" s="11">
        <v>0</v>
      </c>
      <c r="Q139" s="11" t="s">
        <v>291</v>
      </c>
    </row>
    <row r="140" spans="1:17" ht="15" customHeight="1" x14ac:dyDescent="0.2">
      <c r="A140" s="11" t="s">
        <v>585</v>
      </c>
      <c r="B140" s="11" t="s">
        <v>586</v>
      </c>
      <c r="C140" s="11"/>
      <c r="D140" s="11" t="s">
        <v>294</v>
      </c>
      <c r="E140" s="11" t="s">
        <v>538</v>
      </c>
      <c r="F140" s="11"/>
      <c r="G140" s="11"/>
      <c r="H140" s="11"/>
      <c r="I140" s="11"/>
      <c r="J140" s="11"/>
      <c r="K140" s="11"/>
      <c r="L140" s="11" t="s">
        <v>290</v>
      </c>
      <c r="M140" s="11"/>
      <c r="N140" s="11"/>
      <c r="O140" s="11">
        <v>824</v>
      </c>
      <c r="P140" s="11">
        <v>0</v>
      </c>
      <c r="Q140" s="11" t="s">
        <v>291</v>
      </c>
    </row>
    <row r="141" spans="1:17" ht="15" customHeight="1" x14ac:dyDescent="0.2">
      <c r="A141" s="11" t="s">
        <v>587</v>
      </c>
      <c r="B141" s="11" t="s">
        <v>588</v>
      </c>
      <c r="C141" s="11"/>
      <c r="D141" s="11" t="s">
        <v>436</v>
      </c>
      <c r="E141" s="11" t="s">
        <v>538</v>
      </c>
      <c r="F141" s="11"/>
      <c r="G141" s="11"/>
      <c r="H141" s="11"/>
      <c r="I141" s="11"/>
      <c r="J141" s="11"/>
      <c r="K141" s="11"/>
      <c r="L141" s="11" t="s">
        <v>290</v>
      </c>
      <c r="M141" s="11"/>
      <c r="N141" s="11"/>
      <c r="O141" s="11">
        <v>825</v>
      </c>
      <c r="P141" s="11">
        <v>0</v>
      </c>
      <c r="Q141" s="11" t="s">
        <v>291</v>
      </c>
    </row>
    <row r="142" spans="1:17" ht="15" customHeight="1" x14ac:dyDescent="0.2">
      <c r="A142" s="11" t="s">
        <v>589</v>
      </c>
      <c r="B142" s="11" t="s">
        <v>590</v>
      </c>
      <c r="C142" s="11"/>
      <c r="D142" s="11" t="s">
        <v>294</v>
      </c>
      <c r="E142" s="11" t="s">
        <v>538</v>
      </c>
      <c r="F142" s="11"/>
      <c r="G142" s="11"/>
      <c r="H142" s="11"/>
      <c r="I142" s="11"/>
      <c r="J142" s="11"/>
      <c r="K142" s="11"/>
      <c r="L142" s="11" t="s">
        <v>290</v>
      </c>
      <c r="M142" s="11"/>
      <c r="N142" s="11"/>
      <c r="O142" s="11">
        <v>826</v>
      </c>
      <c r="P142" s="11">
        <v>0</v>
      </c>
      <c r="Q142" s="11" t="s">
        <v>291</v>
      </c>
    </row>
    <row r="143" spans="1:17" ht="15" customHeight="1" x14ac:dyDescent="0.2">
      <c r="A143" s="11" t="s">
        <v>591</v>
      </c>
      <c r="B143" s="11" t="s">
        <v>592</v>
      </c>
      <c r="C143" s="11"/>
      <c r="D143" s="11" t="s">
        <v>294</v>
      </c>
      <c r="E143" s="11" t="s">
        <v>538</v>
      </c>
      <c r="F143" s="11"/>
      <c r="G143" s="11"/>
      <c r="H143" s="11"/>
      <c r="I143" s="11"/>
      <c r="J143" s="11"/>
      <c r="K143" s="11"/>
      <c r="L143" s="11" t="s">
        <v>290</v>
      </c>
      <c r="M143" s="11"/>
      <c r="N143" s="11"/>
      <c r="O143" s="11">
        <v>827</v>
      </c>
      <c r="P143" s="11">
        <v>0</v>
      </c>
      <c r="Q143" s="11" t="s">
        <v>291</v>
      </c>
    </row>
    <row r="144" spans="1:17" ht="15" customHeight="1" x14ac:dyDescent="0.2">
      <c r="A144" s="11" t="s">
        <v>593</v>
      </c>
      <c r="B144" s="11" t="s">
        <v>594</v>
      </c>
      <c r="C144" s="11"/>
      <c r="D144" s="11" t="s">
        <v>288</v>
      </c>
      <c r="E144" s="11" t="s">
        <v>595</v>
      </c>
      <c r="F144" s="11"/>
      <c r="G144" s="11"/>
      <c r="H144" s="11"/>
      <c r="I144" s="11"/>
      <c r="J144" s="11"/>
      <c r="K144" s="11"/>
      <c r="L144" s="11" t="s">
        <v>290</v>
      </c>
      <c r="M144" s="11"/>
      <c r="N144" s="11"/>
      <c r="O144" s="11">
        <v>870</v>
      </c>
      <c r="P144" s="11">
        <v>0</v>
      </c>
      <c r="Q144" s="11" t="s">
        <v>291</v>
      </c>
    </row>
    <row r="145" spans="1:17" ht="15" customHeight="1" x14ac:dyDescent="0.2">
      <c r="A145" s="11" t="s">
        <v>596</v>
      </c>
      <c r="B145" s="11" t="s">
        <v>597</v>
      </c>
      <c r="C145" s="11"/>
      <c r="D145" s="11" t="s">
        <v>288</v>
      </c>
      <c r="E145" s="11" t="s">
        <v>595</v>
      </c>
      <c r="F145" s="11"/>
      <c r="G145" s="11"/>
      <c r="H145" s="11"/>
      <c r="I145" s="11"/>
      <c r="J145" s="11"/>
      <c r="K145" s="11"/>
      <c r="L145" s="11" t="s">
        <v>290</v>
      </c>
      <c r="M145" s="11"/>
      <c r="N145" s="11"/>
      <c r="O145" s="11">
        <v>871</v>
      </c>
      <c r="P145" s="11">
        <v>0</v>
      </c>
      <c r="Q145" s="11" t="s">
        <v>291</v>
      </c>
    </row>
    <row r="146" spans="1:17" ht="15" customHeight="1" x14ac:dyDescent="0.2">
      <c r="A146" s="11" t="s">
        <v>598</v>
      </c>
      <c r="B146" s="11" t="s">
        <v>599</v>
      </c>
      <c r="C146" s="11"/>
      <c r="D146" s="11" t="s">
        <v>288</v>
      </c>
      <c r="E146" s="11" t="s">
        <v>595</v>
      </c>
      <c r="F146" s="11"/>
      <c r="G146" s="11"/>
      <c r="H146" s="11"/>
      <c r="I146" s="11"/>
      <c r="J146" s="11"/>
      <c r="K146" s="11"/>
      <c r="L146" s="11" t="s">
        <v>290</v>
      </c>
      <c r="M146" s="11"/>
      <c r="N146" s="11"/>
      <c r="O146" s="11">
        <v>872</v>
      </c>
      <c r="P146" s="11">
        <v>0</v>
      </c>
      <c r="Q146" s="11" t="s">
        <v>291</v>
      </c>
    </row>
    <row r="147" spans="1:17" ht="15" customHeight="1" x14ac:dyDescent="0.2">
      <c r="A147" s="11" t="s">
        <v>600</v>
      </c>
      <c r="B147" s="11" t="s">
        <v>601</v>
      </c>
      <c r="C147" s="11"/>
      <c r="D147" s="11" t="s">
        <v>294</v>
      </c>
      <c r="E147" s="11" t="s">
        <v>595</v>
      </c>
      <c r="F147" s="11"/>
      <c r="G147" s="11"/>
      <c r="H147" s="11"/>
      <c r="I147" s="11"/>
      <c r="J147" s="11"/>
      <c r="K147" s="11"/>
      <c r="L147" s="11" t="s">
        <v>290</v>
      </c>
      <c r="M147" s="11"/>
      <c r="N147" s="11"/>
      <c r="O147" s="11">
        <v>873</v>
      </c>
      <c r="P147" s="11">
        <v>0</v>
      </c>
      <c r="Q147" s="11" t="s">
        <v>291</v>
      </c>
    </row>
    <row r="148" spans="1:17" ht="15" customHeight="1" x14ac:dyDescent="0.2">
      <c r="A148" s="11" t="s">
        <v>602</v>
      </c>
      <c r="B148" s="11" t="s">
        <v>603</v>
      </c>
      <c r="C148" s="11"/>
      <c r="D148" s="11" t="s">
        <v>288</v>
      </c>
      <c r="E148" s="11" t="s">
        <v>595</v>
      </c>
      <c r="F148" s="11"/>
      <c r="G148" s="11"/>
      <c r="H148" s="11"/>
      <c r="I148" s="11"/>
      <c r="J148" s="11"/>
      <c r="K148" s="11"/>
      <c r="L148" s="11" t="s">
        <v>290</v>
      </c>
      <c r="M148" s="11"/>
      <c r="N148" s="11"/>
      <c r="O148" s="11">
        <v>874</v>
      </c>
      <c r="P148" s="11">
        <v>0</v>
      </c>
      <c r="Q148" s="11" t="s">
        <v>291</v>
      </c>
    </row>
    <row r="149" spans="1:17" ht="15" customHeight="1" x14ac:dyDescent="0.2">
      <c r="A149" s="11" t="s">
        <v>604</v>
      </c>
      <c r="B149" s="11" t="s">
        <v>605</v>
      </c>
      <c r="C149" s="11"/>
      <c r="D149" s="11" t="s">
        <v>288</v>
      </c>
      <c r="E149" s="11" t="s">
        <v>123</v>
      </c>
      <c r="F149" s="11"/>
      <c r="G149" s="11"/>
      <c r="H149" s="11"/>
      <c r="I149" s="11"/>
      <c r="J149" s="11"/>
      <c r="K149" s="11"/>
      <c r="L149" s="11" t="s">
        <v>290</v>
      </c>
      <c r="M149" s="11"/>
      <c r="N149" s="11"/>
      <c r="O149" s="11">
        <v>470</v>
      </c>
      <c r="P149" s="11">
        <v>0</v>
      </c>
      <c r="Q149" s="11" t="s">
        <v>291</v>
      </c>
    </row>
    <row r="150" spans="1:17" ht="15" customHeight="1" x14ac:dyDescent="0.2">
      <c r="A150" s="11" t="s">
        <v>606</v>
      </c>
      <c r="B150" s="11" t="s">
        <v>607</v>
      </c>
      <c r="C150" s="11"/>
      <c r="D150" s="11" t="s">
        <v>288</v>
      </c>
      <c r="E150" s="11" t="s">
        <v>123</v>
      </c>
      <c r="F150" s="11"/>
      <c r="G150" s="11"/>
      <c r="H150" s="11"/>
      <c r="I150" s="11"/>
      <c r="J150" s="11"/>
      <c r="K150" s="11"/>
      <c r="L150" s="11" t="s">
        <v>290</v>
      </c>
      <c r="M150" s="11"/>
      <c r="N150" s="11"/>
      <c r="O150" s="11">
        <v>471</v>
      </c>
      <c r="P150" s="11">
        <v>0</v>
      </c>
      <c r="Q150" s="11" t="s">
        <v>291</v>
      </c>
    </row>
    <row r="151" spans="1:17" ht="15" customHeight="1" x14ac:dyDescent="0.2">
      <c r="A151" s="11" t="s">
        <v>608</v>
      </c>
      <c r="B151" s="11" t="s">
        <v>609</v>
      </c>
      <c r="C151" s="11"/>
      <c r="D151" s="11" t="s">
        <v>288</v>
      </c>
      <c r="E151" s="11" t="s">
        <v>123</v>
      </c>
      <c r="F151" s="11"/>
      <c r="G151" s="11"/>
      <c r="H151" s="11"/>
      <c r="I151" s="11"/>
      <c r="J151" s="11"/>
      <c r="K151" s="11"/>
      <c r="L151" s="11" t="s">
        <v>290</v>
      </c>
      <c r="M151" s="11"/>
      <c r="N151" s="11"/>
      <c r="O151" s="11">
        <v>472</v>
      </c>
      <c r="P151" s="11">
        <v>0</v>
      </c>
      <c r="Q151" s="11" t="s">
        <v>291</v>
      </c>
    </row>
    <row r="152" spans="1:17" ht="15" customHeight="1" x14ac:dyDescent="0.2">
      <c r="A152" s="11" t="s">
        <v>610</v>
      </c>
      <c r="B152" s="11" t="s">
        <v>611</v>
      </c>
      <c r="C152" s="11"/>
      <c r="D152" s="11" t="s">
        <v>288</v>
      </c>
      <c r="E152" s="11" t="s">
        <v>123</v>
      </c>
      <c r="F152" s="11"/>
      <c r="G152" s="11"/>
      <c r="H152" s="11"/>
      <c r="I152" s="11"/>
      <c r="J152" s="11"/>
      <c r="K152" s="11"/>
      <c r="L152" s="11" t="s">
        <v>290</v>
      </c>
      <c r="M152" s="11"/>
      <c r="N152" s="11"/>
      <c r="O152" s="11">
        <v>473</v>
      </c>
      <c r="P152" s="11">
        <v>0</v>
      </c>
      <c r="Q152" s="11" t="s">
        <v>291</v>
      </c>
    </row>
    <row r="153" spans="1:17" ht="15" customHeight="1" x14ac:dyDescent="0.2">
      <c r="A153" s="11" t="s">
        <v>612</v>
      </c>
      <c r="B153" s="11" t="s">
        <v>613</v>
      </c>
      <c r="C153" s="11"/>
      <c r="D153" s="11" t="s">
        <v>294</v>
      </c>
      <c r="E153" s="11" t="s">
        <v>123</v>
      </c>
      <c r="F153" s="11"/>
      <c r="G153" s="11"/>
      <c r="H153" s="11"/>
      <c r="I153" s="11"/>
      <c r="J153" s="11"/>
      <c r="K153" s="11"/>
      <c r="L153" s="11" t="s">
        <v>290</v>
      </c>
      <c r="M153" s="11"/>
      <c r="N153" s="11"/>
      <c r="O153" s="11">
        <v>474</v>
      </c>
      <c r="P153" s="11">
        <v>0</v>
      </c>
      <c r="Q153" s="11" t="s">
        <v>291</v>
      </c>
    </row>
    <row r="154" spans="1:17" ht="15" customHeight="1" x14ac:dyDescent="0.2">
      <c r="A154" s="11" t="s">
        <v>614</v>
      </c>
      <c r="B154" s="11" t="s">
        <v>615</v>
      </c>
      <c r="C154" s="11"/>
      <c r="D154" s="11" t="s">
        <v>294</v>
      </c>
      <c r="E154" s="11" t="s">
        <v>123</v>
      </c>
      <c r="F154" s="11"/>
      <c r="G154" s="11"/>
      <c r="H154" s="11"/>
      <c r="I154" s="11"/>
      <c r="J154" s="11"/>
      <c r="K154" s="11"/>
      <c r="L154" s="11" t="s">
        <v>290</v>
      </c>
      <c r="M154" s="11"/>
      <c r="N154" s="11"/>
      <c r="O154" s="11">
        <v>475</v>
      </c>
      <c r="P154" s="11">
        <v>0</v>
      </c>
      <c r="Q154" s="11" t="s">
        <v>291</v>
      </c>
    </row>
    <row r="155" spans="1:17" ht="15" customHeight="1" x14ac:dyDescent="0.2">
      <c r="A155" s="11" t="s">
        <v>616</v>
      </c>
      <c r="B155" s="11" t="s">
        <v>617</v>
      </c>
      <c r="C155" s="11"/>
      <c r="D155" s="11" t="s">
        <v>618</v>
      </c>
      <c r="E155" s="11" t="s">
        <v>619</v>
      </c>
      <c r="F155" s="11"/>
      <c r="G155" s="11"/>
      <c r="H155" s="11"/>
      <c r="I155" s="11"/>
      <c r="J155" s="11"/>
      <c r="K155" s="11"/>
      <c r="L155" s="11" t="s">
        <v>290</v>
      </c>
      <c r="M155" s="11"/>
      <c r="N155" s="11"/>
      <c r="O155" s="11">
        <v>780</v>
      </c>
      <c r="P155" s="11">
        <v>0</v>
      </c>
      <c r="Q155" s="11" t="s">
        <v>291</v>
      </c>
    </row>
    <row r="156" spans="1:17" ht="15" customHeight="1" x14ac:dyDescent="0.2">
      <c r="A156" s="11" t="s">
        <v>620</v>
      </c>
      <c r="B156" s="11" t="s">
        <v>621</v>
      </c>
      <c r="C156" s="11"/>
      <c r="D156" s="11" t="s">
        <v>618</v>
      </c>
      <c r="E156" s="11" t="s">
        <v>619</v>
      </c>
      <c r="F156" s="11"/>
      <c r="G156" s="11"/>
      <c r="H156" s="11"/>
      <c r="I156" s="11"/>
      <c r="J156" s="11"/>
      <c r="K156" s="11"/>
      <c r="L156" s="11" t="s">
        <v>290</v>
      </c>
      <c r="M156" s="11"/>
      <c r="N156" s="11"/>
      <c r="O156" s="11">
        <v>781</v>
      </c>
      <c r="P156" s="11">
        <v>0</v>
      </c>
      <c r="Q156" s="11" t="s">
        <v>291</v>
      </c>
    </row>
    <row r="157" spans="1:17" ht="15" customHeight="1" x14ac:dyDescent="0.2">
      <c r="A157" s="11" t="s">
        <v>622</v>
      </c>
      <c r="B157" s="11" t="s">
        <v>623</v>
      </c>
      <c r="C157" s="11"/>
      <c r="D157" s="11" t="s">
        <v>359</v>
      </c>
      <c r="E157" s="11" t="s">
        <v>624</v>
      </c>
      <c r="F157" s="11"/>
      <c r="G157" s="11"/>
      <c r="H157" s="11"/>
      <c r="I157" s="11"/>
      <c r="J157" s="11"/>
      <c r="K157" s="11"/>
      <c r="L157" s="11" t="s">
        <v>290</v>
      </c>
      <c r="M157" s="11"/>
      <c r="N157" s="11"/>
      <c r="O157" s="11">
        <v>700</v>
      </c>
      <c r="P157" s="11">
        <v>0</v>
      </c>
      <c r="Q157" s="11" t="s">
        <v>350</v>
      </c>
    </row>
    <row r="158" spans="1:17" ht="15" customHeight="1" x14ac:dyDescent="0.2">
      <c r="A158" s="11" t="s">
        <v>625</v>
      </c>
      <c r="B158" s="11" t="s">
        <v>626</v>
      </c>
      <c r="C158" s="11"/>
      <c r="D158" s="11" t="s">
        <v>288</v>
      </c>
      <c r="E158" s="11" t="s">
        <v>624</v>
      </c>
      <c r="F158" s="11"/>
      <c r="G158" s="11"/>
      <c r="H158" s="11"/>
      <c r="I158" s="11"/>
      <c r="J158" s="11"/>
      <c r="K158" s="11"/>
      <c r="L158" s="11" t="s">
        <v>290</v>
      </c>
      <c r="M158" s="11"/>
      <c r="N158" s="11"/>
      <c r="O158" s="11">
        <v>701</v>
      </c>
      <c r="P158" s="11">
        <v>0</v>
      </c>
      <c r="Q158" s="11" t="s">
        <v>291</v>
      </c>
    </row>
    <row r="159" spans="1:17" ht="15" customHeight="1" x14ac:dyDescent="0.2">
      <c r="A159" s="11" t="s">
        <v>627</v>
      </c>
      <c r="B159" s="11" t="s">
        <v>628</v>
      </c>
      <c r="C159" s="11"/>
      <c r="D159" s="11" t="s">
        <v>288</v>
      </c>
      <c r="E159" s="11" t="s">
        <v>624</v>
      </c>
      <c r="F159" s="11"/>
      <c r="G159" s="11"/>
      <c r="H159" s="11"/>
      <c r="I159" s="11"/>
      <c r="J159" s="11"/>
      <c r="K159" s="11"/>
      <c r="L159" s="11" t="s">
        <v>290</v>
      </c>
      <c r="M159" s="11"/>
      <c r="N159" s="11"/>
      <c r="O159" s="11">
        <v>702</v>
      </c>
      <c r="P159" s="11">
        <v>0</v>
      </c>
      <c r="Q159" s="11" t="s">
        <v>291</v>
      </c>
    </row>
    <row r="160" spans="1:17" ht="15" customHeight="1" x14ac:dyDescent="0.2">
      <c r="A160" s="11" t="s">
        <v>629</v>
      </c>
      <c r="B160" s="11" t="s">
        <v>630</v>
      </c>
      <c r="C160" s="11"/>
      <c r="D160" s="11" t="s">
        <v>288</v>
      </c>
      <c r="E160" s="11" t="s">
        <v>624</v>
      </c>
      <c r="F160" s="11"/>
      <c r="G160" s="11"/>
      <c r="H160" s="11"/>
      <c r="I160" s="11"/>
      <c r="J160" s="11"/>
      <c r="K160" s="11"/>
      <c r="L160" s="11" t="s">
        <v>290</v>
      </c>
      <c r="M160" s="11"/>
      <c r="N160" s="11"/>
      <c r="O160" s="11">
        <v>703</v>
      </c>
      <c r="P160" s="11">
        <v>0</v>
      </c>
      <c r="Q160" s="11" t="s">
        <v>291</v>
      </c>
    </row>
    <row r="161" spans="1:17" ht="15" customHeight="1" x14ac:dyDescent="0.2">
      <c r="A161" s="11" t="s">
        <v>631</v>
      </c>
      <c r="B161" s="11" t="s">
        <v>632</v>
      </c>
      <c r="C161" s="11"/>
      <c r="D161" s="11" t="s">
        <v>288</v>
      </c>
      <c r="E161" s="11" t="s">
        <v>624</v>
      </c>
      <c r="F161" s="11"/>
      <c r="G161" s="11"/>
      <c r="H161" s="11"/>
      <c r="I161" s="11"/>
      <c r="J161" s="11"/>
      <c r="K161" s="11"/>
      <c r="L161" s="11" t="s">
        <v>290</v>
      </c>
      <c r="M161" s="11"/>
      <c r="N161" s="11"/>
      <c r="O161" s="11">
        <v>704</v>
      </c>
      <c r="P161" s="11">
        <v>0</v>
      </c>
      <c r="Q161" s="11" t="s">
        <v>291</v>
      </c>
    </row>
    <row r="162" spans="1:17" ht="15" customHeight="1" x14ac:dyDescent="0.2">
      <c r="A162" s="11" t="s">
        <v>633</v>
      </c>
      <c r="B162" s="11" t="s">
        <v>634</v>
      </c>
      <c r="C162" s="11"/>
      <c r="D162" s="11" t="s">
        <v>288</v>
      </c>
      <c r="E162" s="11" t="s">
        <v>624</v>
      </c>
      <c r="F162" s="11"/>
      <c r="G162" s="11"/>
      <c r="H162" s="11"/>
      <c r="I162" s="11"/>
      <c r="J162" s="11"/>
      <c r="K162" s="11"/>
      <c r="L162" s="11" t="s">
        <v>290</v>
      </c>
      <c r="M162" s="11"/>
      <c r="N162" s="11"/>
      <c r="O162" s="11">
        <v>705</v>
      </c>
      <c r="P162" s="11">
        <v>0</v>
      </c>
      <c r="Q162" s="11" t="s">
        <v>291</v>
      </c>
    </row>
    <row r="163" spans="1:17" ht="15" customHeight="1" x14ac:dyDescent="0.2">
      <c r="A163" s="11" t="s">
        <v>635</v>
      </c>
      <c r="B163" s="11" t="s">
        <v>636</v>
      </c>
      <c r="C163" s="11"/>
      <c r="D163" s="11" t="s">
        <v>294</v>
      </c>
      <c r="E163" s="11" t="s">
        <v>624</v>
      </c>
      <c r="F163" s="11"/>
      <c r="G163" s="11"/>
      <c r="H163" s="11"/>
      <c r="I163" s="11"/>
      <c r="J163" s="11"/>
      <c r="K163" s="11"/>
      <c r="L163" s="11" t="s">
        <v>290</v>
      </c>
      <c r="M163" s="11"/>
      <c r="N163" s="11"/>
      <c r="O163" s="11">
        <v>710</v>
      </c>
      <c r="P163" s="11">
        <v>0</v>
      </c>
      <c r="Q163" s="11" t="s">
        <v>291</v>
      </c>
    </row>
    <row r="164" spans="1:17" ht="15" customHeight="1" x14ac:dyDescent="0.2">
      <c r="A164" s="11" t="s">
        <v>637</v>
      </c>
      <c r="B164" s="11" t="s">
        <v>638</v>
      </c>
      <c r="C164" s="11"/>
      <c r="D164" s="11" t="s">
        <v>294</v>
      </c>
      <c r="E164" s="11" t="s">
        <v>624</v>
      </c>
      <c r="F164" s="11"/>
      <c r="G164" s="11"/>
      <c r="H164" s="11"/>
      <c r="I164" s="11"/>
      <c r="J164" s="11"/>
      <c r="K164" s="11"/>
      <c r="L164" s="11" t="s">
        <v>290</v>
      </c>
      <c r="M164" s="11"/>
      <c r="N164" s="11"/>
      <c r="O164" s="11">
        <v>711</v>
      </c>
      <c r="P164" s="11">
        <v>0</v>
      </c>
      <c r="Q164" s="11" t="s">
        <v>291</v>
      </c>
    </row>
    <row r="165" spans="1:17" ht="15" customHeight="1" x14ac:dyDescent="0.2">
      <c r="A165" s="11" t="s">
        <v>639</v>
      </c>
      <c r="B165" s="11" t="s">
        <v>640</v>
      </c>
      <c r="C165" s="11"/>
      <c r="D165" s="11" t="s">
        <v>294</v>
      </c>
      <c r="E165" s="11" t="s">
        <v>624</v>
      </c>
      <c r="F165" s="11"/>
      <c r="G165" s="11"/>
      <c r="H165" s="11"/>
      <c r="I165" s="11"/>
      <c r="J165" s="11"/>
      <c r="K165" s="11"/>
      <c r="L165" s="11" t="s">
        <v>290</v>
      </c>
      <c r="M165" s="11"/>
      <c r="N165" s="11"/>
      <c r="O165" s="11">
        <v>712</v>
      </c>
      <c r="P165" s="11">
        <v>0</v>
      </c>
      <c r="Q165" s="11" t="s">
        <v>291</v>
      </c>
    </row>
    <row r="166" spans="1:17" ht="15" customHeight="1" x14ac:dyDescent="0.2">
      <c r="A166" s="11" t="s">
        <v>641</v>
      </c>
      <c r="B166" s="11" t="s">
        <v>642</v>
      </c>
      <c r="C166" s="11"/>
      <c r="D166" s="11" t="s">
        <v>294</v>
      </c>
      <c r="E166" s="11" t="s">
        <v>624</v>
      </c>
      <c r="F166" s="11"/>
      <c r="G166" s="11"/>
      <c r="H166" s="11"/>
      <c r="I166" s="11"/>
      <c r="J166" s="11"/>
      <c r="K166" s="11"/>
      <c r="L166" s="11" t="s">
        <v>290</v>
      </c>
      <c r="M166" s="11"/>
      <c r="N166" s="11"/>
      <c r="O166" s="11">
        <v>713</v>
      </c>
      <c r="P166" s="11">
        <v>0</v>
      </c>
      <c r="Q166" s="11" t="s">
        <v>291</v>
      </c>
    </row>
    <row r="167" spans="1:17" ht="15" customHeight="1" x14ac:dyDescent="0.2">
      <c r="A167" s="11" t="s">
        <v>643</v>
      </c>
      <c r="B167" s="11" t="s">
        <v>644</v>
      </c>
      <c r="C167" s="11"/>
      <c r="D167" s="11" t="s">
        <v>294</v>
      </c>
      <c r="E167" s="11" t="s">
        <v>624</v>
      </c>
      <c r="F167" s="11"/>
      <c r="G167" s="11"/>
      <c r="H167" s="11"/>
      <c r="I167" s="11"/>
      <c r="J167" s="11"/>
      <c r="K167" s="11"/>
      <c r="L167" s="11" t="s">
        <v>290</v>
      </c>
      <c r="M167" s="11"/>
      <c r="N167" s="11"/>
      <c r="O167" s="11">
        <v>714</v>
      </c>
      <c r="P167" s="11">
        <v>0</v>
      </c>
      <c r="Q167" s="11" t="s">
        <v>291</v>
      </c>
    </row>
    <row r="168" spans="1:17" ht="15" customHeight="1" x14ac:dyDescent="0.2">
      <c r="A168" s="11" t="s">
        <v>645</v>
      </c>
      <c r="B168" s="11" t="s">
        <v>646</v>
      </c>
      <c r="C168" s="11"/>
      <c r="D168" s="11" t="s">
        <v>294</v>
      </c>
      <c r="E168" s="11" t="s">
        <v>624</v>
      </c>
      <c r="F168" s="11"/>
      <c r="G168" s="11"/>
      <c r="H168" s="11"/>
      <c r="I168" s="11"/>
      <c r="J168" s="11"/>
      <c r="K168" s="11"/>
      <c r="L168" s="11" t="s">
        <v>290</v>
      </c>
      <c r="M168" s="11"/>
      <c r="N168" s="11"/>
      <c r="O168" s="11">
        <v>715</v>
      </c>
      <c r="P168" s="11">
        <v>0</v>
      </c>
      <c r="Q168" s="11" t="s">
        <v>291</v>
      </c>
    </row>
    <row r="169" spans="1:17" ht="15" customHeight="1" x14ac:dyDescent="0.2">
      <c r="A169" s="11" t="s">
        <v>647</v>
      </c>
      <c r="B169" s="11" t="s">
        <v>648</v>
      </c>
      <c r="C169" s="11"/>
      <c r="D169" s="11" t="s">
        <v>288</v>
      </c>
      <c r="E169" s="11" t="s">
        <v>624</v>
      </c>
      <c r="F169" s="11"/>
      <c r="G169" s="11"/>
      <c r="H169" s="11"/>
      <c r="I169" s="11"/>
      <c r="J169" s="11"/>
      <c r="K169" s="11"/>
      <c r="L169" s="11" t="s">
        <v>290</v>
      </c>
      <c r="M169" s="11"/>
      <c r="N169" s="11"/>
      <c r="O169" s="11">
        <v>720</v>
      </c>
      <c r="P169" s="11">
        <v>0</v>
      </c>
      <c r="Q169" s="11" t="s">
        <v>291</v>
      </c>
    </row>
    <row r="170" spans="1:17" ht="15" customHeight="1" x14ac:dyDescent="0.2">
      <c r="A170" s="11" t="s">
        <v>649</v>
      </c>
      <c r="B170" s="11" t="s">
        <v>650</v>
      </c>
      <c r="C170" s="11"/>
      <c r="D170" s="11" t="s">
        <v>315</v>
      </c>
      <c r="E170" s="11" t="s">
        <v>624</v>
      </c>
      <c r="F170" s="11"/>
      <c r="G170" s="11"/>
      <c r="H170" s="11"/>
      <c r="I170" s="11"/>
      <c r="J170" s="11"/>
      <c r="K170" s="11"/>
      <c r="L170" s="11" t="s">
        <v>290</v>
      </c>
      <c r="M170" s="11"/>
      <c r="N170" s="11"/>
      <c r="O170" s="11">
        <v>721</v>
      </c>
      <c r="P170" s="11">
        <v>0</v>
      </c>
      <c r="Q170" s="11" t="s">
        <v>291</v>
      </c>
    </row>
    <row r="171" spans="1:17" ht="15" customHeight="1" x14ac:dyDescent="0.2">
      <c r="A171" s="11" t="s">
        <v>651</v>
      </c>
      <c r="B171" s="11" t="s">
        <v>652</v>
      </c>
      <c r="C171" s="11"/>
      <c r="D171" s="11" t="s">
        <v>288</v>
      </c>
      <c r="E171" s="11" t="s">
        <v>624</v>
      </c>
      <c r="F171" s="11"/>
      <c r="G171" s="11"/>
      <c r="H171" s="11"/>
      <c r="I171" s="11"/>
      <c r="J171" s="11"/>
      <c r="K171" s="11"/>
      <c r="L171" s="11" t="s">
        <v>290</v>
      </c>
      <c r="M171" s="11"/>
      <c r="N171" s="11"/>
      <c r="O171" s="11">
        <v>722</v>
      </c>
      <c r="P171" s="11">
        <v>0</v>
      </c>
      <c r="Q171" s="11" t="s">
        <v>291</v>
      </c>
    </row>
    <row r="172" spans="1:17" ht="15" customHeight="1" x14ac:dyDescent="0.2">
      <c r="A172" s="11" t="s">
        <v>653</v>
      </c>
      <c r="B172" s="11" t="s">
        <v>654</v>
      </c>
      <c r="C172" s="11"/>
      <c r="D172" s="11" t="s">
        <v>315</v>
      </c>
      <c r="E172" s="11" t="s">
        <v>624</v>
      </c>
      <c r="F172" s="11"/>
      <c r="G172" s="11"/>
      <c r="H172" s="11"/>
      <c r="I172" s="11"/>
      <c r="J172" s="11"/>
      <c r="K172" s="11"/>
      <c r="L172" s="11" t="s">
        <v>290</v>
      </c>
      <c r="M172" s="11"/>
      <c r="N172" s="11"/>
      <c r="O172" s="11">
        <v>723</v>
      </c>
      <c r="P172" s="11">
        <v>0</v>
      </c>
      <c r="Q172" s="11" t="s">
        <v>291</v>
      </c>
    </row>
    <row r="173" spans="1:17" ht="15" customHeight="1" x14ac:dyDescent="0.2">
      <c r="A173" s="11" t="s">
        <v>655</v>
      </c>
      <c r="B173" s="11" t="s">
        <v>656</v>
      </c>
      <c r="C173" s="11"/>
      <c r="D173" s="11" t="s">
        <v>288</v>
      </c>
      <c r="E173" s="11" t="s">
        <v>624</v>
      </c>
      <c r="F173" s="11"/>
      <c r="G173" s="11"/>
      <c r="H173" s="11"/>
      <c r="I173" s="11"/>
      <c r="J173" s="11"/>
      <c r="K173" s="11"/>
      <c r="L173" s="11" t="s">
        <v>290</v>
      </c>
      <c r="M173" s="11"/>
      <c r="N173" s="11"/>
      <c r="O173" s="11">
        <v>724</v>
      </c>
      <c r="P173" s="11">
        <v>0</v>
      </c>
      <c r="Q173" s="11" t="s">
        <v>291</v>
      </c>
    </row>
    <row r="174" spans="1:17" ht="15" customHeight="1" x14ac:dyDescent="0.2">
      <c r="A174" s="11" t="s">
        <v>657</v>
      </c>
      <c r="B174" s="11" t="s">
        <v>658</v>
      </c>
      <c r="C174" s="11"/>
      <c r="D174" s="11" t="s">
        <v>294</v>
      </c>
      <c r="E174" s="11" t="s">
        <v>624</v>
      </c>
      <c r="F174" s="11"/>
      <c r="G174" s="11"/>
      <c r="H174" s="11"/>
      <c r="I174" s="11"/>
      <c r="J174" s="11"/>
      <c r="K174" s="11"/>
      <c r="L174" s="11" t="s">
        <v>290</v>
      </c>
      <c r="M174" s="11"/>
      <c r="N174" s="11"/>
      <c r="O174" s="11">
        <v>730</v>
      </c>
      <c r="P174" s="11">
        <v>0</v>
      </c>
      <c r="Q174" s="11" t="s">
        <v>291</v>
      </c>
    </row>
    <row r="175" spans="1:17" ht="15" customHeight="1" x14ac:dyDescent="0.2">
      <c r="A175" s="11" t="s">
        <v>659</v>
      </c>
      <c r="B175" s="11" t="s">
        <v>660</v>
      </c>
      <c r="C175" s="11"/>
      <c r="D175" s="11" t="s">
        <v>294</v>
      </c>
      <c r="E175" s="11" t="s">
        <v>624</v>
      </c>
      <c r="F175" s="11"/>
      <c r="G175" s="11"/>
      <c r="H175" s="11"/>
      <c r="I175" s="11"/>
      <c r="J175" s="11"/>
      <c r="K175" s="11"/>
      <c r="L175" s="11" t="s">
        <v>290</v>
      </c>
      <c r="M175" s="11"/>
      <c r="N175" s="11"/>
      <c r="O175" s="11">
        <v>731</v>
      </c>
      <c r="P175" s="11">
        <v>0</v>
      </c>
      <c r="Q175" s="11" t="s">
        <v>291</v>
      </c>
    </row>
    <row r="176" spans="1:17" ht="15" customHeight="1" x14ac:dyDescent="0.2">
      <c r="A176" s="11" t="s">
        <v>661</v>
      </c>
      <c r="B176" s="11" t="s">
        <v>662</v>
      </c>
      <c r="C176" s="11"/>
      <c r="D176" s="11" t="s">
        <v>294</v>
      </c>
      <c r="E176" s="11" t="s">
        <v>624</v>
      </c>
      <c r="F176" s="11"/>
      <c r="G176" s="11"/>
      <c r="H176" s="11"/>
      <c r="I176" s="11"/>
      <c r="J176" s="11"/>
      <c r="K176" s="11"/>
      <c r="L176" s="11" t="s">
        <v>290</v>
      </c>
      <c r="M176" s="11"/>
      <c r="N176" s="11"/>
      <c r="O176" s="11">
        <v>732</v>
      </c>
      <c r="P176" s="11">
        <v>0</v>
      </c>
      <c r="Q176" s="11" t="s">
        <v>291</v>
      </c>
    </row>
    <row r="177" spans="1:17" ht="15" customHeight="1" x14ac:dyDescent="0.2">
      <c r="A177" s="11" t="s">
        <v>663</v>
      </c>
      <c r="B177" s="11" t="s">
        <v>664</v>
      </c>
      <c r="C177" s="11"/>
      <c r="D177" s="11" t="s">
        <v>294</v>
      </c>
      <c r="E177" s="11" t="s">
        <v>624</v>
      </c>
      <c r="F177" s="11"/>
      <c r="G177" s="11"/>
      <c r="H177" s="11"/>
      <c r="I177" s="11"/>
      <c r="J177" s="11"/>
      <c r="K177" s="11"/>
      <c r="L177" s="11" t="s">
        <v>290</v>
      </c>
      <c r="M177" s="11"/>
      <c r="N177" s="11"/>
      <c r="O177" s="11">
        <v>733</v>
      </c>
      <c r="P177" s="11">
        <v>0</v>
      </c>
      <c r="Q177" s="11" t="s">
        <v>291</v>
      </c>
    </row>
    <row r="178" spans="1:17" ht="15" customHeight="1" x14ac:dyDescent="0.2">
      <c r="A178" s="11" t="s">
        <v>665</v>
      </c>
      <c r="B178" s="11" t="s">
        <v>666</v>
      </c>
      <c r="C178" s="11"/>
      <c r="D178" s="11" t="s">
        <v>294</v>
      </c>
      <c r="E178" s="11" t="s">
        <v>624</v>
      </c>
      <c r="F178" s="11"/>
      <c r="G178" s="11"/>
      <c r="H178" s="11"/>
      <c r="I178" s="11"/>
      <c r="J178" s="11"/>
      <c r="K178" s="11"/>
      <c r="L178" s="11" t="s">
        <v>290</v>
      </c>
      <c r="M178" s="11"/>
      <c r="N178" s="11"/>
      <c r="O178" s="11">
        <v>734</v>
      </c>
      <c r="P178" s="11">
        <v>0</v>
      </c>
      <c r="Q178" s="11" t="s">
        <v>291</v>
      </c>
    </row>
    <row r="179" spans="1:17" ht="15" customHeight="1" x14ac:dyDescent="0.2">
      <c r="A179" s="11" t="s">
        <v>667</v>
      </c>
      <c r="B179" s="11" t="s">
        <v>668</v>
      </c>
      <c r="C179" s="11"/>
      <c r="D179" s="11" t="s">
        <v>294</v>
      </c>
      <c r="E179" s="11" t="s">
        <v>624</v>
      </c>
      <c r="F179" s="11"/>
      <c r="G179" s="11"/>
      <c r="H179" s="11"/>
      <c r="I179" s="11"/>
      <c r="J179" s="11"/>
      <c r="K179" s="11"/>
      <c r="L179" s="11" t="s">
        <v>290</v>
      </c>
      <c r="M179" s="11"/>
      <c r="N179" s="11"/>
      <c r="O179" s="11">
        <v>735</v>
      </c>
      <c r="P179" s="11">
        <v>0</v>
      </c>
      <c r="Q179" s="11" t="s">
        <v>291</v>
      </c>
    </row>
    <row r="180" spans="1:17" ht="15" customHeight="1" x14ac:dyDescent="0.2">
      <c r="A180" s="11" t="s">
        <v>669</v>
      </c>
      <c r="B180" s="11" t="s">
        <v>670</v>
      </c>
      <c r="C180" s="11"/>
      <c r="D180" s="11" t="s">
        <v>294</v>
      </c>
      <c r="E180" s="11" t="s">
        <v>624</v>
      </c>
      <c r="F180" s="11"/>
      <c r="G180" s="11"/>
      <c r="H180" s="11"/>
      <c r="I180" s="11"/>
      <c r="J180" s="11"/>
      <c r="K180" s="11"/>
      <c r="L180" s="11" t="s">
        <v>290</v>
      </c>
      <c r="M180" s="11"/>
      <c r="N180" s="11"/>
      <c r="O180" s="11">
        <v>736</v>
      </c>
      <c r="P180" s="11">
        <v>0</v>
      </c>
      <c r="Q180" s="11" t="s">
        <v>291</v>
      </c>
    </row>
    <row r="181" spans="1:17" ht="15" customHeight="1" x14ac:dyDescent="0.2">
      <c r="A181" s="11" t="s">
        <v>671</v>
      </c>
      <c r="B181" s="11" t="s">
        <v>672</v>
      </c>
      <c r="C181" s="11"/>
      <c r="D181" s="11" t="s">
        <v>294</v>
      </c>
      <c r="E181" s="11" t="s">
        <v>624</v>
      </c>
      <c r="F181" s="11"/>
      <c r="G181" s="11"/>
      <c r="H181" s="11"/>
      <c r="I181" s="11"/>
      <c r="J181" s="11"/>
      <c r="K181" s="11"/>
      <c r="L181" s="11" t="s">
        <v>290</v>
      </c>
      <c r="M181" s="11"/>
      <c r="N181" s="11"/>
      <c r="O181" s="11">
        <v>737</v>
      </c>
      <c r="P181" s="11">
        <v>0</v>
      </c>
      <c r="Q181" s="11" t="s">
        <v>291</v>
      </c>
    </row>
    <row r="182" spans="1:17" ht="15" customHeight="1" x14ac:dyDescent="0.2">
      <c r="A182" s="11" t="s">
        <v>673</v>
      </c>
      <c r="B182" s="11" t="s">
        <v>674</v>
      </c>
      <c r="C182" s="11"/>
      <c r="D182" s="11" t="s">
        <v>294</v>
      </c>
      <c r="E182" s="11" t="s">
        <v>624</v>
      </c>
      <c r="F182" s="11"/>
      <c r="G182" s="11"/>
      <c r="H182" s="11"/>
      <c r="I182" s="11"/>
      <c r="J182" s="11"/>
      <c r="K182" s="11"/>
      <c r="L182" s="11" t="s">
        <v>290</v>
      </c>
      <c r="M182" s="11"/>
      <c r="N182" s="11"/>
      <c r="O182" s="11">
        <v>738</v>
      </c>
      <c r="P182" s="11">
        <v>0</v>
      </c>
      <c r="Q182" s="11" t="s">
        <v>291</v>
      </c>
    </row>
    <row r="183" spans="1:17" ht="15" customHeight="1" x14ac:dyDescent="0.2">
      <c r="A183" s="11" t="s">
        <v>675</v>
      </c>
      <c r="B183" s="11" t="s">
        <v>676</v>
      </c>
      <c r="C183" s="11"/>
      <c r="D183" s="11" t="s">
        <v>315</v>
      </c>
      <c r="E183" s="11" t="s">
        <v>624</v>
      </c>
      <c r="F183" s="11"/>
      <c r="G183" s="11"/>
      <c r="H183" s="11"/>
      <c r="I183" s="11"/>
      <c r="J183" s="11"/>
      <c r="K183" s="11"/>
      <c r="L183" s="11" t="s">
        <v>290</v>
      </c>
      <c r="M183" s="11"/>
      <c r="N183" s="11"/>
      <c r="O183" s="11">
        <v>740</v>
      </c>
      <c r="P183" s="11">
        <v>0</v>
      </c>
      <c r="Q183" s="11" t="s">
        <v>291</v>
      </c>
    </row>
    <row r="184" spans="1:17" ht="15" customHeight="1" x14ac:dyDescent="0.2">
      <c r="A184" s="11" t="s">
        <v>677</v>
      </c>
      <c r="B184" s="11" t="s">
        <v>678</v>
      </c>
      <c r="C184" s="11"/>
      <c r="D184" s="11" t="s">
        <v>315</v>
      </c>
      <c r="E184" s="11" t="s">
        <v>624</v>
      </c>
      <c r="F184" s="11"/>
      <c r="G184" s="11"/>
      <c r="H184" s="11"/>
      <c r="I184" s="11"/>
      <c r="J184" s="11"/>
      <c r="K184" s="11"/>
      <c r="L184" s="11" t="s">
        <v>290</v>
      </c>
      <c r="M184" s="11"/>
      <c r="N184" s="11"/>
      <c r="O184" s="11">
        <v>741</v>
      </c>
      <c r="P184" s="11">
        <v>0</v>
      </c>
      <c r="Q184" s="11" t="s">
        <v>291</v>
      </c>
    </row>
    <row r="185" spans="1:17" ht="15" customHeight="1" x14ac:dyDescent="0.2">
      <c r="A185" s="11" t="s">
        <v>679</v>
      </c>
      <c r="B185" s="11" t="s">
        <v>680</v>
      </c>
      <c r="C185" s="11"/>
      <c r="D185" s="11" t="s">
        <v>315</v>
      </c>
      <c r="E185" s="11" t="s">
        <v>624</v>
      </c>
      <c r="F185" s="11"/>
      <c r="G185" s="11"/>
      <c r="H185" s="11"/>
      <c r="I185" s="11"/>
      <c r="J185" s="11"/>
      <c r="K185" s="11"/>
      <c r="L185" s="11" t="s">
        <v>290</v>
      </c>
      <c r="M185" s="11"/>
      <c r="N185" s="11"/>
      <c r="O185" s="11">
        <v>742</v>
      </c>
      <c r="P185" s="11">
        <v>0</v>
      </c>
      <c r="Q185" s="11" t="s">
        <v>291</v>
      </c>
    </row>
    <row r="186" spans="1:17" ht="15" customHeight="1" x14ac:dyDescent="0.2">
      <c r="A186" s="11" t="s">
        <v>681</v>
      </c>
      <c r="B186" s="11" t="s">
        <v>682</v>
      </c>
      <c r="C186" s="11"/>
      <c r="D186" s="11" t="s">
        <v>315</v>
      </c>
      <c r="E186" s="11" t="s">
        <v>624</v>
      </c>
      <c r="F186" s="11"/>
      <c r="G186" s="11"/>
      <c r="H186" s="11"/>
      <c r="I186" s="11"/>
      <c r="J186" s="11"/>
      <c r="K186" s="11"/>
      <c r="L186" s="11" t="s">
        <v>290</v>
      </c>
      <c r="M186" s="11"/>
      <c r="N186" s="11"/>
      <c r="O186" s="11">
        <v>743</v>
      </c>
      <c r="P186" s="11">
        <v>0</v>
      </c>
      <c r="Q186" s="11" t="s">
        <v>291</v>
      </c>
    </row>
    <row r="187" spans="1:17" ht="15" customHeight="1" x14ac:dyDescent="0.2">
      <c r="A187" s="11" t="s">
        <v>683</v>
      </c>
      <c r="B187" s="11" t="s">
        <v>684</v>
      </c>
      <c r="C187" s="11"/>
      <c r="D187" s="11" t="s">
        <v>288</v>
      </c>
      <c r="E187" s="11" t="s">
        <v>624</v>
      </c>
      <c r="F187" s="11"/>
      <c r="G187" s="11"/>
      <c r="H187" s="11"/>
      <c r="I187" s="11"/>
      <c r="J187" s="11"/>
      <c r="K187" s="11"/>
      <c r="L187" s="11" t="s">
        <v>290</v>
      </c>
      <c r="M187" s="11"/>
      <c r="N187" s="11"/>
      <c r="O187" s="11">
        <v>750</v>
      </c>
      <c r="P187" s="11">
        <v>0</v>
      </c>
      <c r="Q187" s="11" t="s">
        <v>291</v>
      </c>
    </row>
    <row r="188" spans="1:17" ht="15" customHeight="1" x14ac:dyDescent="0.2">
      <c r="A188" s="11" t="s">
        <v>685</v>
      </c>
      <c r="B188" s="11" t="s">
        <v>686</v>
      </c>
      <c r="C188" s="11"/>
      <c r="D188" s="11" t="s">
        <v>288</v>
      </c>
      <c r="E188" s="11" t="s">
        <v>624</v>
      </c>
      <c r="F188" s="11"/>
      <c r="G188" s="11"/>
      <c r="H188" s="11"/>
      <c r="I188" s="11"/>
      <c r="J188" s="11"/>
      <c r="K188" s="11"/>
      <c r="L188" s="11" t="s">
        <v>290</v>
      </c>
      <c r="M188" s="11"/>
      <c r="N188" s="11"/>
      <c r="O188" s="11">
        <v>751</v>
      </c>
      <c r="P188" s="11">
        <v>0</v>
      </c>
      <c r="Q188" s="11" t="s">
        <v>291</v>
      </c>
    </row>
    <row r="189" spans="1:17" ht="15" customHeight="1" x14ac:dyDescent="0.2">
      <c r="A189" s="11" t="s">
        <v>687</v>
      </c>
      <c r="B189" s="11" t="s">
        <v>688</v>
      </c>
      <c r="C189" s="11"/>
      <c r="D189" s="11" t="s">
        <v>288</v>
      </c>
      <c r="E189" s="11" t="s">
        <v>624</v>
      </c>
      <c r="F189" s="11"/>
      <c r="G189" s="11"/>
      <c r="H189" s="11"/>
      <c r="I189" s="11"/>
      <c r="J189" s="11"/>
      <c r="K189" s="11"/>
      <c r="L189" s="11" t="s">
        <v>290</v>
      </c>
      <c r="M189" s="11"/>
      <c r="N189" s="11"/>
      <c r="O189" s="11">
        <v>752</v>
      </c>
      <c r="P189" s="11">
        <v>0</v>
      </c>
      <c r="Q189" s="11" t="s">
        <v>291</v>
      </c>
    </row>
    <row r="190" spans="1:17" ht="15" customHeight="1" x14ac:dyDescent="0.2">
      <c r="A190" s="11" t="s">
        <v>689</v>
      </c>
      <c r="B190" s="11" t="s">
        <v>690</v>
      </c>
      <c r="C190" s="11"/>
      <c r="D190" s="11" t="s">
        <v>294</v>
      </c>
      <c r="E190" s="11" t="s">
        <v>624</v>
      </c>
      <c r="F190" s="11"/>
      <c r="G190" s="11"/>
      <c r="H190" s="11"/>
      <c r="I190" s="11"/>
      <c r="J190" s="11"/>
      <c r="K190" s="11"/>
      <c r="L190" s="11" t="s">
        <v>290</v>
      </c>
      <c r="M190" s="11"/>
      <c r="N190" s="11"/>
      <c r="O190" s="11">
        <v>760</v>
      </c>
      <c r="P190" s="11">
        <v>0</v>
      </c>
      <c r="Q190" s="11" t="s">
        <v>291</v>
      </c>
    </row>
    <row r="191" spans="1:17" ht="15" customHeight="1" x14ac:dyDescent="0.2">
      <c r="A191" s="11" t="s">
        <v>691</v>
      </c>
      <c r="B191" s="11" t="s">
        <v>692</v>
      </c>
      <c r="C191" s="11"/>
      <c r="D191" s="11" t="s">
        <v>294</v>
      </c>
      <c r="E191" s="11" t="s">
        <v>624</v>
      </c>
      <c r="F191" s="11"/>
      <c r="G191" s="11"/>
      <c r="H191" s="11"/>
      <c r="I191" s="11"/>
      <c r="J191" s="11"/>
      <c r="K191" s="11"/>
      <c r="L191" s="11" t="s">
        <v>290</v>
      </c>
      <c r="M191" s="11"/>
      <c r="N191" s="11"/>
      <c r="O191" s="11">
        <v>761</v>
      </c>
      <c r="P191" s="11">
        <v>0</v>
      </c>
      <c r="Q191" s="11" t="s">
        <v>291</v>
      </c>
    </row>
    <row r="192" spans="1:17" ht="15" customHeight="1" x14ac:dyDescent="0.2">
      <c r="A192" s="11" t="s">
        <v>693</v>
      </c>
      <c r="B192" s="11" t="s">
        <v>694</v>
      </c>
      <c r="C192" s="11"/>
      <c r="D192" s="11" t="s">
        <v>294</v>
      </c>
      <c r="E192" s="11" t="s">
        <v>624</v>
      </c>
      <c r="F192" s="11"/>
      <c r="G192" s="11"/>
      <c r="H192" s="11"/>
      <c r="I192" s="11"/>
      <c r="J192" s="11"/>
      <c r="K192" s="11"/>
      <c r="L192" s="11" t="s">
        <v>290</v>
      </c>
      <c r="M192" s="11"/>
      <c r="N192" s="11"/>
      <c r="O192" s="11">
        <v>762</v>
      </c>
      <c r="P192" s="11">
        <v>0</v>
      </c>
      <c r="Q192" s="11" t="s">
        <v>291</v>
      </c>
    </row>
    <row r="193" spans="1:17" ht="15" customHeight="1" x14ac:dyDescent="0.2">
      <c r="A193" s="11" t="s">
        <v>695</v>
      </c>
      <c r="B193" s="11" t="s">
        <v>696</v>
      </c>
      <c r="C193" s="11"/>
      <c r="D193" s="11" t="s">
        <v>294</v>
      </c>
      <c r="E193" s="11" t="s">
        <v>624</v>
      </c>
      <c r="F193" s="11"/>
      <c r="G193" s="11"/>
      <c r="H193" s="11"/>
      <c r="I193" s="11"/>
      <c r="J193" s="11"/>
      <c r="K193" s="11"/>
      <c r="L193" s="11" t="s">
        <v>290</v>
      </c>
      <c r="M193" s="11"/>
      <c r="N193" s="11"/>
      <c r="O193" s="11">
        <v>763</v>
      </c>
      <c r="P193" s="11">
        <v>0</v>
      </c>
      <c r="Q193" s="11" t="s">
        <v>291</v>
      </c>
    </row>
    <row r="194" spans="1:17" ht="15" customHeight="1" x14ac:dyDescent="0.2">
      <c r="A194" s="11" t="s">
        <v>697</v>
      </c>
      <c r="B194" s="11" t="s">
        <v>698</v>
      </c>
      <c r="C194" s="11"/>
      <c r="D194" s="11" t="s">
        <v>436</v>
      </c>
      <c r="E194" s="11" t="s">
        <v>624</v>
      </c>
      <c r="F194" s="11"/>
      <c r="G194" s="11"/>
      <c r="H194" s="11"/>
      <c r="I194" s="11"/>
      <c r="J194" s="11"/>
      <c r="K194" s="11"/>
      <c r="L194" s="11" t="s">
        <v>290</v>
      </c>
      <c r="M194" s="11"/>
      <c r="N194" s="11"/>
      <c r="O194" s="11">
        <v>770</v>
      </c>
      <c r="P194" s="11">
        <v>0</v>
      </c>
      <c r="Q194" s="11" t="s">
        <v>291</v>
      </c>
    </row>
    <row r="195" spans="1:17" ht="15" customHeight="1" x14ac:dyDescent="0.2">
      <c r="A195" s="11" t="s">
        <v>699</v>
      </c>
      <c r="B195" s="11" t="s">
        <v>700</v>
      </c>
      <c r="C195" s="11"/>
      <c r="D195" s="11" t="s">
        <v>436</v>
      </c>
      <c r="E195" s="11" t="s">
        <v>624</v>
      </c>
      <c r="F195" s="11"/>
      <c r="G195" s="11"/>
      <c r="H195" s="11"/>
      <c r="I195" s="11"/>
      <c r="J195" s="11"/>
      <c r="K195" s="11"/>
      <c r="L195" s="11" t="s">
        <v>290</v>
      </c>
      <c r="M195" s="11"/>
      <c r="N195" s="11"/>
      <c r="O195" s="11">
        <v>771</v>
      </c>
      <c r="P195" s="11">
        <v>0</v>
      </c>
      <c r="Q195" s="11" t="s">
        <v>291</v>
      </c>
    </row>
    <row r="196" spans="1:17" ht="15" customHeight="1" x14ac:dyDescent="0.2">
      <c r="A196" s="11" t="s">
        <v>701</v>
      </c>
      <c r="B196" s="11" t="s">
        <v>702</v>
      </c>
      <c r="C196" s="11"/>
      <c r="D196" s="11" t="s">
        <v>288</v>
      </c>
      <c r="E196" s="11" t="s">
        <v>153</v>
      </c>
      <c r="F196" s="11"/>
      <c r="G196" s="11"/>
      <c r="H196" s="11"/>
      <c r="I196" s="11"/>
      <c r="J196" s="11"/>
      <c r="K196" s="11"/>
      <c r="L196" s="11" t="s">
        <v>290</v>
      </c>
      <c r="M196" s="11"/>
      <c r="N196" s="11"/>
      <c r="O196" s="11">
        <v>260</v>
      </c>
      <c r="P196" s="11">
        <v>0</v>
      </c>
      <c r="Q196" s="11" t="s">
        <v>291</v>
      </c>
    </row>
    <row r="197" spans="1:17" ht="15" customHeight="1" x14ac:dyDescent="0.2">
      <c r="A197" s="11" t="s">
        <v>703</v>
      </c>
      <c r="B197" s="11" t="s">
        <v>704</v>
      </c>
      <c r="C197" s="11"/>
      <c r="D197" s="11" t="s">
        <v>288</v>
      </c>
      <c r="E197" s="11" t="s">
        <v>153</v>
      </c>
      <c r="F197" s="11"/>
      <c r="G197" s="11"/>
      <c r="H197" s="11"/>
      <c r="I197" s="11"/>
      <c r="J197" s="11"/>
      <c r="K197" s="11"/>
      <c r="L197" s="11" t="s">
        <v>290</v>
      </c>
      <c r="M197" s="11"/>
      <c r="N197" s="11"/>
      <c r="O197" s="11">
        <v>261</v>
      </c>
      <c r="P197" s="11">
        <v>0</v>
      </c>
      <c r="Q197" s="11" t="s">
        <v>291</v>
      </c>
    </row>
    <row r="198" spans="1:17" ht="15" customHeight="1" x14ac:dyDescent="0.2">
      <c r="A198" s="11" t="s">
        <v>705</v>
      </c>
      <c r="B198" s="11" t="s">
        <v>706</v>
      </c>
      <c r="C198" s="11"/>
      <c r="D198" s="11" t="s">
        <v>288</v>
      </c>
      <c r="E198" s="11" t="s">
        <v>153</v>
      </c>
      <c r="F198" s="11"/>
      <c r="G198" s="11"/>
      <c r="H198" s="11"/>
      <c r="I198" s="11"/>
      <c r="J198" s="11"/>
      <c r="K198" s="11"/>
      <c r="L198" s="11" t="s">
        <v>290</v>
      </c>
      <c r="M198" s="11"/>
      <c r="N198" s="11"/>
      <c r="O198" s="11">
        <v>262</v>
      </c>
      <c r="P198" s="11">
        <v>0</v>
      </c>
      <c r="Q198" s="11" t="s">
        <v>291</v>
      </c>
    </row>
    <row r="199" spans="1:17" ht="15" customHeight="1" x14ac:dyDescent="0.2">
      <c r="A199" s="11" t="s">
        <v>707</v>
      </c>
      <c r="B199" s="11" t="s">
        <v>708</v>
      </c>
      <c r="C199" s="11"/>
      <c r="D199" s="11" t="s">
        <v>294</v>
      </c>
      <c r="E199" s="11" t="s">
        <v>153</v>
      </c>
      <c r="F199" s="11"/>
      <c r="G199" s="11"/>
      <c r="H199" s="11"/>
      <c r="I199" s="11"/>
      <c r="J199" s="11"/>
      <c r="K199" s="11"/>
      <c r="L199" s="11" t="s">
        <v>290</v>
      </c>
      <c r="M199" s="11"/>
      <c r="N199" s="11"/>
      <c r="O199" s="11">
        <v>263</v>
      </c>
      <c r="P199" s="11">
        <v>0</v>
      </c>
      <c r="Q199" s="11" t="s">
        <v>291</v>
      </c>
    </row>
    <row r="200" spans="1:17" ht="15" customHeight="1" x14ac:dyDescent="0.2">
      <c r="A200" s="11" t="s">
        <v>709</v>
      </c>
      <c r="B200" s="11" t="s">
        <v>710</v>
      </c>
      <c r="C200" s="11" t="s">
        <v>711</v>
      </c>
      <c r="D200" s="11" t="s">
        <v>618</v>
      </c>
      <c r="E200" s="11" t="s">
        <v>712</v>
      </c>
      <c r="F200" s="11"/>
      <c r="G200" s="11"/>
      <c r="H200" s="11"/>
      <c r="I200" s="11"/>
      <c r="J200" s="11"/>
      <c r="K200" s="11"/>
      <c r="L200" s="11" t="s">
        <v>290</v>
      </c>
      <c r="M200" s="11"/>
      <c r="N200" s="11"/>
      <c r="O200" s="11">
        <v>1</v>
      </c>
      <c r="P200" s="11">
        <v>0</v>
      </c>
      <c r="Q200" s="11" t="s">
        <v>713</v>
      </c>
    </row>
    <row r="201" spans="1:17" ht="15" customHeight="1" x14ac:dyDescent="0.2">
      <c r="A201" s="11" t="s">
        <v>714</v>
      </c>
      <c r="B201" s="11" t="s">
        <v>715</v>
      </c>
      <c r="C201" s="11" t="s">
        <v>711</v>
      </c>
      <c r="D201" s="11" t="s">
        <v>618</v>
      </c>
      <c r="E201" s="11" t="s">
        <v>712</v>
      </c>
      <c r="F201" s="11"/>
      <c r="G201" s="11"/>
      <c r="H201" s="11"/>
      <c r="I201" s="11"/>
      <c r="J201" s="11"/>
      <c r="K201" s="11"/>
      <c r="L201" s="11" t="s">
        <v>290</v>
      </c>
      <c r="M201" s="11"/>
      <c r="N201" s="11"/>
      <c r="O201" s="11">
        <v>2</v>
      </c>
      <c r="P201" s="11">
        <v>0</v>
      </c>
      <c r="Q201" s="11" t="s">
        <v>713</v>
      </c>
    </row>
    <row r="202" spans="1:17" ht="15" customHeight="1" x14ac:dyDescent="0.2">
      <c r="A202" s="11" t="s">
        <v>716</v>
      </c>
      <c r="B202" s="11" t="s">
        <v>717</v>
      </c>
      <c r="C202" s="11" t="s">
        <v>718</v>
      </c>
      <c r="D202" s="11" t="s">
        <v>618</v>
      </c>
      <c r="E202" s="11" t="s">
        <v>712</v>
      </c>
      <c r="F202" s="11"/>
      <c r="G202" s="11"/>
      <c r="H202" s="11"/>
      <c r="I202" s="11"/>
      <c r="J202" s="11"/>
      <c r="K202" s="11"/>
      <c r="L202" s="11" t="s">
        <v>290</v>
      </c>
      <c r="M202" s="11"/>
      <c r="N202" s="11"/>
      <c r="O202" s="11">
        <v>3</v>
      </c>
      <c r="P202" s="11">
        <v>0</v>
      </c>
      <c r="Q202" s="11" t="s">
        <v>713</v>
      </c>
    </row>
    <row r="203" spans="1:17" ht="15" customHeight="1" x14ac:dyDescent="0.2">
      <c r="A203" s="11" t="s">
        <v>719</v>
      </c>
      <c r="B203" s="11" t="s">
        <v>720</v>
      </c>
      <c r="C203" s="11" t="s">
        <v>718</v>
      </c>
      <c r="D203" s="11" t="s">
        <v>618</v>
      </c>
      <c r="E203" s="11" t="s">
        <v>712</v>
      </c>
      <c r="F203" s="11"/>
      <c r="G203" s="11"/>
      <c r="H203" s="11"/>
      <c r="I203" s="11"/>
      <c r="J203" s="11"/>
      <c r="K203" s="11"/>
      <c r="L203" s="11" t="s">
        <v>290</v>
      </c>
      <c r="M203" s="11"/>
      <c r="N203" s="11"/>
      <c r="O203" s="11">
        <v>4</v>
      </c>
      <c r="P203" s="11">
        <v>0</v>
      </c>
      <c r="Q203" s="11" t="s">
        <v>713</v>
      </c>
    </row>
    <row r="204" spans="1:17" ht="15" customHeight="1" x14ac:dyDescent="0.2">
      <c r="A204" s="11" t="s">
        <v>721</v>
      </c>
      <c r="B204" s="11" t="s">
        <v>722</v>
      </c>
      <c r="C204" s="11" t="s">
        <v>718</v>
      </c>
      <c r="D204" s="11" t="s">
        <v>618</v>
      </c>
      <c r="E204" s="11" t="s">
        <v>712</v>
      </c>
      <c r="F204" s="11"/>
      <c r="G204" s="11"/>
      <c r="H204" s="11"/>
      <c r="I204" s="11"/>
      <c r="J204" s="11"/>
      <c r="K204" s="11"/>
      <c r="L204" s="11" t="s">
        <v>290</v>
      </c>
      <c r="M204" s="11"/>
      <c r="N204" s="11"/>
      <c r="O204" s="11">
        <v>5</v>
      </c>
      <c r="P204" s="11">
        <v>0</v>
      </c>
      <c r="Q204" s="11" t="s">
        <v>713</v>
      </c>
    </row>
    <row r="205" spans="1:17" ht="15" customHeight="1" x14ac:dyDescent="0.2">
      <c r="A205" s="11" t="s">
        <v>723</v>
      </c>
      <c r="B205" s="11" t="s">
        <v>724</v>
      </c>
      <c r="C205" s="11" t="s">
        <v>718</v>
      </c>
      <c r="D205" s="11" t="s">
        <v>618</v>
      </c>
      <c r="E205" s="11" t="s">
        <v>712</v>
      </c>
      <c r="F205" s="11"/>
      <c r="G205" s="11"/>
      <c r="H205" s="11"/>
      <c r="I205" s="11"/>
      <c r="J205" s="11"/>
      <c r="K205" s="11"/>
      <c r="L205" s="11" t="s">
        <v>290</v>
      </c>
      <c r="M205" s="11"/>
      <c r="N205" s="11"/>
      <c r="O205" s="11">
        <v>6</v>
      </c>
      <c r="P205" s="11">
        <v>0</v>
      </c>
      <c r="Q205" s="11" t="s">
        <v>713</v>
      </c>
    </row>
    <row r="206" spans="1:17" ht="15" customHeight="1" x14ac:dyDescent="0.2">
      <c r="A206" s="11" t="s">
        <v>725</v>
      </c>
      <c r="B206" s="11" t="s">
        <v>726</v>
      </c>
      <c r="C206" s="11" t="s">
        <v>718</v>
      </c>
      <c r="D206" s="11" t="s">
        <v>315</v>
      </c>
      <c r="E206" s="11" t="s">
        <v>712</v>
      </c>
      <c r="F206" s="11"/>
      <c r="G206" s="11"/>
      <c r="H206" s="11"/>
      <c r="I206" s="11"/>
      <c r="J206" s="11"/>
      <c r="K206" s="11"/>
      <c r="L206" s="11" t="s">
        <v>290</v>
      </c>
      <c r="M206" s="11"/>
      <c r="N206" s="11"/>
      <c r="O206" s="11">
        <v>150</v>
      </c>
      <c r="P206" s="11">
        <v>0</v>
      </c>
      <c r="Q206" s="11" t="s">
        <v>713</v>
      </c>
    </row>
    <row r="207" spans="1:17" ht="15" customHeight="1" x14ac:dyDescent="0.2">
      <c r="A207" s="11" t="s">
        <v>727</v>
      </c>
      <c r="B207" s="11" t="s">
        <v>728</v>
      </c>
      <c r="C207" s="11"/>
      <c r="D207" s="11" t="s">
        <v>315</v>
      </c>
      <c r="E207" s="11" t="s">
        <v>712</v>
      </c>
      <c r="F207" s="11"/>
      <c r="G207" s="11"/>
      <c r="H207" s="11"/>
      <c r="I207" s="11"/>
      <c r="J207" s="11"/>
      <c r="K207" s="11"/>
      <c r="L207" s="11" t="s">
        <v>290</v>
      </c>
      <c r="M207" s="11"/>
      <c r="N207" s="11"/>
      <c r="O207" s="11">
        <v>151</v>
      </c>
      <c r="P207" s="11">
        <v>0</v>
      </c>
      <c r="Q207" s="11" t="s">
        <v>291</v>
      </c>
    </row>
    <row r="208" spans="1:17" ht="15" customHeight="1" x14ac:dyDescent="0.2">
      <c r="A208" s="11" t="s">
        <v>729</v>
      </c>
      <c r="B208" s="11" t="s">
        <v>730</v>
      </c>
      <c r="C208" s="11"/>
      <c r="D208" s="11" t="s">
        <v>315</v>
      </c>
      <c r="E208" s="11" t="s">
        <v>712</v>
      </c>
      <c r="F208" s="11"/>
      <c r="G208" s="11"/>
      <c r="H208" s="11"/>
      <c r="I208" s="11"/>
      <c r="J208" s="11"/>
      <c r="K208" s="11"/>
      <c r="L208" s="11" t="s">
        <v>290</v>
      </c>
      <c r="M208" s="11"/>
      <c r="N208" s="11"/>
      <c r="O208" s="11">
        <v>152</v>
      </c>
      <c r="P208" s="11">
        <v>0</v>
      </c>
      <c r="Q208" s="11" t="s">
        <v>291</v>
      </c>
    </row>
    <row r="209" spans="1:17" ht="15" customHeight="1" x14ac:dyDescent="0.2">
      <c r="A209" s="11" t="s">
        <v>731</v>
      </c>
      <c r="B209" s="11" t="s">
        <v>732</v>
      </c>
      <c r="C209" s="11"/>
      <c r="D209" s="11" t="s">
        <v>315</v>
      </c>
      <c r="E209" s="11" t="s">
        <v>712</v>
      </c>
      <c r="F209" s="11"/>
      <c r="G209" s="11"/>
      <c r="H209" s="11"/>
      <c r="I209" s="11"/>
      <c r="J209" s="11"/>
      <c r="K209" s="11"/>
      <c r="L209" s="11" t="s">
        <v>290</v>
      </c>
      <c r="M209" s="11"/>
      <c r="N209" s="11"/>
      <c r="O209" s="11">
        <v>153</v>
      </c>
      <c r="P209" s="11">
        <v>0</v>
      </c>
      <c r="Q209" s="11" t="s">
        <v>291</v>
      </c>
    </row>
    <row r="210" spans="1:17" ht="15" customHeight="1" x14ac:dyDescent="0.2">
      <c r="A210" s="11" t="s">
        <v>733</v>
      </c>
      <c r="B210" s="11" t="s">
        <v>734</v>
      </c>
      <c r="C210" s="11" t="s">
        <v>718</v>
      </c>
      <c r="D210" s="11" t="s">
        <v>315</v>
      </c>
      <c r="E210" s="11" t="s">
        <v>712</v>
      </c>
      <c r="F210" s="11"/>
      <c r="G210" s="11"/>
      <c r="H210" s="11"/>
      <c r="I210" s="11"/>
      <c r="J210" s="11"/>
      <c r="K210" s="11"/>
      <c r="L210" s="11" t="s">
        <v>290</v>
      </c>
      <c r="M210" s="11"/>
      <c r="N210" s="11"/>
      <c r="O210" s="11">
        <v>154</v>
      </c>
      <c r="P210" s="11">
        <v>0</v>
      </c>
      <c r="Q210" s="11" t="s">
        <v>713</v>
      </c>
    </row>
    <row r="211" spans="1:17" ht="15" customHeight="1" x14ac:dyDescent="0.2">
      <c r="A211" s="11" t="s">
        <v>735</v>
      </c>
      <c r="B211" s="11" t="s">
        <v>736</v>
      </c>
      <c r="C211" s="11"/>
      <c r="D211" s="11" t="s">
        <v>315</v>
      </c>
      <c r="E211" s="11" t="s">
        <v>712</v>
      </c>
      <c r="F211" s="11"/>
      <c r="G211" s="11"/>
      <c r="H211" s="11"/>
      <c r="I211" s="11"/>
      <c r="J211" s="11"/>
      <c r="K211" s="11"/>
      <c r="L211" s="11" t="s">
        <v>290</v>
      </c>
      <c r="M211" s="11"/>
      <c r="N211" s="11"/>
      <c r="O211" s="11">
        <v>155</v>
      </c>
      <c r="P211" s="11">
        <v>0</v>
      </c>
      <c r="Q211" s="11" t="s">
        <v>291</v>
      </c>
    </row>
    <row r="212" spans="1:17" ht="15" customHeight="1" x14ac:dyDescent="0.2">
      <c r="A212" s="11" t="s">
        <v>737</v>
      </c>
      <c r="B212" s="11" t="s">
        <v>738</v>
      </c>
      <c r="C212" s="11"/>
      <c r="D212" s="11" t="s">
        <v>315</v>
      </c>
      <c r="E212" s="11" t="s">
        <v>712</v>
      </c>
      <c r="F212" s="11"/>
      <c r="G212" s="11"/>
      <c r="H212" s="11"/>
      <c r="I212" s="11"/>
      <c r="J212" s="11"/>
      <c r="K212" s="11"/>
      <c r="L212" s="11" t="s">
        <v>290</v>
      </c>
      <c r="M212" s="11"/>
      <c r="N212" s="11"/>
      <c r="O212" s="11">
        <v>156</v>
      </c>
      <c r="P212" s="11">
        <v>0</v>
      </c>
      <c r="Q212" s="11" t="s">
        <v>291</v>
      </c>
    </row>
    <row r="213" spans="1:17" ht="15" customHeight="1" x14ac:dyDescent="0.2">
      <c r="A213" s="11" t="s">
        <v>739</v>
      </c>
      <c r="B213" s="11" t="s">
        <v>740</v>
      </c>
      <c r="C213" s="11"/>
      <c r="D213" s="11" t="s">
        <v>436</v>
      </c>
      <c r="E213" s="11" t="s">
        <v>712</v>
      </c>
      <c r="F213" s="11"/>
      <c r="G213" s="11"/>
      <c r="H213" s="11"/>
      <c r="I213" s="11"/>
      <c r="J213" s="11"/>
      <c r="K213" s="11"/>
      <c r="L213" s="11" t="s">
        <v>290</v>
      </c>
      <c r="M213" s="11"/>
      <c r="N213" s="11"/>
      <c r="O213" s="11">
        <v>160</v>
      </c>
      <c r="P213" s="11">
        <v>0</v>
      </c>
      <c r="Q213" s="11" t="s">
        <v>291</v>
      </c>
    </row>
    <row r="214" spans="1:17" ht="15" customHeight="1" x14ac:dyDescent="0.2">
      <c r="A214" s="11" t="s">
        <v>741</v>
      </c>
      <c r="B214" s="11" t="s">
        <v>742</v>
      </c>
      <c r="C214" s="11"/>
      <c r="D214" s="11" t="s">
        <v>436</v>
      </c>
      <c r="E214" s="11" t="s">
        <v>712</v>
      </c>
      <c r="F214" s="11"/>
      <c r="G214" s="11"/>
      <c r="H214" s="11"/>
      <c r="I214" s="11"/>
      <c r="J214" s="11"/>
      <c r="K214" s="11"/>
      <c r="L214" s="11" t="s">
        <v>290</v>
      </c>
      <c r="M214" s="11"/>
      <c r="N214" s="11"/>
      <c r="O214" s="11">
        <v>161</v>
      </c>
      <c r="P214" s="11">
        <v>0</v>
      </c>
      <c r="Q214" s="11" t="s">
        <v>291</v>
      </c>
    </row>
    <row r="215" spans="1:17" ht="15" customHeight="1" x14ac:dyDescent="0.2">
      <c r="A215" s="11" t="s">
        <v>743</v>
      </c>
      <c r="B215" s="11" t="s">
        <v>744</v>
      </c>
      <c r="C215" s="11"/>
      <c r="D215" s="11" t="s">
        <v>436</v>
      </c>
      <c r="E215" s="11" t="s">
        <v>712</v>
      </c>
      <c r="F215" s="11"/>
      <c r="G215" s="11"/>
      <c r="H215" s="11"/>
      <c r="I215" s="11"/>
      <c r="J215" s="11"/>
      <c r="K215" s="11"/>
      <c r="L215" s="11" t="s">
        <v>290</v>
      </c>
      <c r="M215" s="11"/>
      <c r="N215" s="11"/>
      <c r="O215" s="11">
        <v>162</v>
      </c>
      <c r="P215" s="11">
        <v>0</v>
      </c>
      <c r="Q215" s="11" t="s">
        <v>291</v>
      </c>
    </row>
    <row r="216" spans="1:17" ht="15" customHeight="1" x14ac:dyDescent="0.2">
      <c r="A216" s="11" t="s">
        <v>745</v>
      </c>
      <c r="B216" s="11" t="s">
        <v>746</v>
      </c>
      <c r="C216" s="11"/>
      <c r="D216" s="11" t="s">
        <v>436</v>
      </c>
      <c r="E216" s="11" t="s">
        <v>712</v>
      </c>
      <c r="F216" s="11"/>
      <c r="G216" s="11"/>
      <c r="H216" s="11"/>
      <c r="I216" s="11"/>
      <c r="J216" s="11"/>
      <c r="K216" s="11"/>
      <c r="L216" s="11" t="s">
        <v>290</v>
      </c>
      <c r="M216" s="11"/>
      <c r="N216" s="11"/>
      <c r="O216" s="11">
        <v>163</v>
      </c>
      <c r="P216" s="11">
        <v>0</v>
      </c>
      <c r="Q216" s="11" t="s">
        <v>291</v>
      </c>
    </row>
    <row r="217" spans="1:17" ht="15" customHeight="1" x14ac:dyDescent="0.2">
      <c r="A217" s="11" t="s">
        <v>747</v>
      </c>
      <c r="B217" s="11" t="s">
        <v>748</v>
      </c>
      <c r="C217" s="11"/>
      <c r="D217" s="11" t="s">
        <v>436</v>
      </c>
      <c r="E217" s="11" t="s">
        <v>712</v>
      </c>
      <c r="F217" s="11"/>
      <c r="G217" s="11"/>
      <c r="H217" s="11"/>
      <c r="I217" s="11"/>
      <c r="J217" s="11"/>
      <c r="K217" s="11"/>
      <c r="L217" s="11" t="s">
        <v>290</v>
      </c>
      <c r="M217" s="11"/>
      <c r="N217" s="11"/>
      <c r="O217" s="11">
        <v>164</v>
      </c>
      <c r="P217" s="11">
        <v>0</v>
      </c>
      <c r="Q217" s="11" t="s">
        <v>291</v>
      </c>
    </row>
    <row r="218" spans="1:17" ht="15" customHeight="1" x14ac:dyDescent="0.2">
      <c r="A218" s="11" t="s">
        <v>749</v>
      </c>
      <c r="B218" s="11" t="s">
        <v>750</v>
      </c>
      <c r="C218" s="11"/>
      <c r="D218" s="11" t="s">
        <v>301</v>
      </c>
      <c r="E218" s="11" t="s">
        <v>712</v>
      </c>
      <c r="F218" s="11"/>
      <c r="G218" s="11"/>
      <c r="H218" s="11"/>
      <c r="I218" s="11"/>
      <c r="J218" s="11"/>
      <c r="K218" s="11"/>
      <c r="L218" s="11" t="s">
        <v>290</v>
      </c>
      <c r="M218" s="11"/>
      <c r="N218" s="11"/>
      <c r="O218" s="11">
        <v>170</v>
      </c>
      <c r="P218" s="11">
        <v>0</v>
      </c>
      <c r="Q218" s="11" t="s">
        <v>291</v>
      </c>
    </row>
    <row r="219" spans="1:17" ht="15" customHeight="1" x14ac:dyDescent="0.2">
      <c r="A219" s="11" t="s">
        <v>751</v>
      </c>
      <c r="B219" s="11" t="s">
        <v>752</v>
      </c>
      <c r="C219" s="11"/>
      <c r="D219" s="11" t="s">
        <v>301</v>
      </c>
      <c r="E219" s="11" t="s">
        <v>712</v>
      </c>
      <c r="F219" s="11"/>
      <c r="G219" s="11"/>
      <c r="H219" s="11"/>
      <c r="I219" s="11"/>
      <c r="J219" s="11"/>
      <c r="K219" s="11"/>
      <c r="L219" s="11" t="s">
        <v>290</v>
      </c>
      <c r="M219" s="11"/>
      <c r="N219" s="11"/>
      <c r="O219" s="11">
        <v>171</v>
      </c>
      <c r="P219" s="11">
        <v>0</v>
      </c>
      <c r="Q219" s="11" t="s">
        <v>291</v>
      </c>
    </row>
    <row r="220" spans="1:17" ht="15" customHeight="1" x14ac:dyDescent="0.2">
      <c r="A220" s="11" t="s">
        <v>753</v>
      </c>
      <c r="B220" s="11" t="s">
        <v>754</v>
      </c>
      <c r="C220" s="11"/>
      <c r="D220" s="11" t="s">
        <v>301</v>
      </c>
      <c r="E220" s="11" t="s">
        <v>712</v>
      </c>
      <c r="F220" s="11"/>
      <c r="G220" s="11"/>
      <c r="H220" s="11"/>
      <c r="I220" s="11"/>
      <c r="J220" s="11"/>
      <c r="K220" s="11"/>
      <c r="L220" s="11" t="s">
        <v>290</v>
      </c>
      <c r="M220" s="11"/>
      <c r="N220" s="11"/>
      <c r="O220" s="11">
        <v>172</v>
      </c>
      <c r="P220" s="11">
        <v>0</v>
      </c>
      <c r="Q220" s="11" t="s">
        <v>291</v>
      </c>
    </row>
    <row r="221" spans="1:17" ht="15" customHeight="1" x14ac:dyDescent="0.2">
      <c r="A221" s="11" t="s">
        <v>755</v>
      </c>
      <c r="B221" s="11" t="s">
        <v>756</v>
      </c>
      <c r="C221" s="11"/>
      <c r="D221" s="11" t="s">
        <v>301</v>
      </c>
      <c r="E221" s="11" t="s">
        <v>712</v>
      </c>
      <c r="F221" s="11"/>
      <c r="G221" s="11"/>
      <c r="H221" s="11"/>
      <c r="I221" s="11"/>
      <c r="J221" s="11"/>
      <c r="K221" s="11"/>
      <c r="L221" s="11" t="s">
        <v>290</v>
      </c>
      <c r="M221" s="11"/>
      <c r="N221" s="11"/>
      <c r="O221" s="11">
        <v>173</v>
      </c>
      <c r="P221" s="11">
        <v>0</v>
      </c>
      <c r="Q221" s="11" t="s">
        <v>291</v>
      </c>
    </row>
    <row r="222" spans="1:17" ht="15" customHeight="1" x14ac:dyDescent="0.2">
      <c r="A222" s="11" t="s">
        <v>757</v>
      </c>
      <c r="B222" s="11" t="s">
        <v>758</v>
      </c>
      <c r="C222" s="11"/>
      <c r="D222" s="11" t="s">
        <v>341</v>
      </c>
      <c r="E222" s="11" t="s">
        <v>759</v>
      </c>
      <c r="F222" s="11"/>
      <c r="G222" s="11"/>
      <c r="H222" s="11"/>
      <c r="I222" s="11"/>
      <c r="J222" s="11"/>
      <c r="K222" s="11"/>
      <c r="L222" s="11" t="s">
        <v>290</v>
      </c>
      <c r="M222" s="11"/>
      <c r="N222" s="11"/>
      <c r="O222" s="11">
        <v>10</v>
      </c>
      <c r="P222" s="11">
        <v>13</v>
      </c>
      <c r="Q222" s="11" t="s">
        <v>291</v>
      </c>
    </row>
    <row r="223" spans="1:17" ht="15" customHeight="1" x14ac:dyDescent="0.2">
      <c r="A223" s="11" t="s">
        <v>760</v>
      </c>
      <c r="B223" s="11" t="s">
        <v>761</v>
      </c>
      <c r="C223" s="11"/>
      <c r="D223" s="11" t="s">
        <v>341</v>
      </c>
      <c r="E223" s="11" t="s">
        <v>759</v>
      </c>
      <c r="F223" s="11"/>
      <c r="G223" s="11"/>
      <c r="H223" s="11"/>
      <c r="I223" s="11"/>
      <c r="J223" s="11"/>
      <c r="K223" s="11"/>
      <c r="L223" s="11" t="s">
        <v>290</v>
      </c>
      <c r="M223" s="11"/>
      <c r="N223" s="11"/>
      <c r="O223" s="11">
        <v>11</v>
      </c>
      <c r="P223" s="11">
        <v>10</v>
      </c>
      <c r="Q223" s="11" t="s">
        <v>291</v>
      </c>
    </row>
    <row r="224" spans="1:17" ht="15" customHeight="1" x14ac:dyDescent="0.2">
      <c r="A224" s="11" t="s">
        <v>762</v>
      </c>
      <c r="B224" s="11" t="s">
        <v>763</v>
      </c>
      <c r="C224" s="11"/>
      <c r="D224" s="11" t="s">
        <v>341</v>
      </c>
      <c r="E224" s="11" t="s">
        <v>759</v>
      </c>
      <c r="F224" s="11"/>
      <c r="G224" s="11"/>
      <c r="H224" s="11"/>
      <c r="I224" s="11"/>
      <c r="J224" s="11"/>
      <c r="K224" s="11"/>
      <c r="L224" s="11" t="s">
        <v>290</v>
      </c>
      <c r="M224" s="11"/>
      <c r="N224" s="11"/>
      <c r="O224" s="11">
        <v>12</v>
      </c>
      <c r="P224" s="11">
        <v>8</v>
      </c>
      <c r="Q224" s="11" t="s">
        <v>291</v>
      </c>
    </row>
    <row r="225" spans="1:17" ht="15" customHeight="1" x14ac:dyDescent="0.2">
      <c r="A225" s="11" t="s">
        <v>764</v>
      </c>
      <c r="B225" s="11" t="s">
        <v>765</v>
      </c>
      <c r="C225" s="11"/>
      <c r="D225" s="11" t="s">
        <v>341</v>
      </c>
      <c r="E225" s="11" t="s">
        <v>759</v>
      </c>
      <c r="F225" s="11"/>
      <c r="G225" s="11"/>
      <c r="H225" s="11"/>
      <c r="I225" s="11"/>
      <c r="J225" s="11"/>
      <c r="K225" s="11"/>
      <c r="L225" s="11" t="s">
        <v>290</v>
      </c>
      <c r="M225" s="11"/>
      <c r="N225" s="11"/>
      <c r="O225" s="11">
        <v>13</v>
      </c>
      <c r="P225" s="11">
        <v>6</v>
      </c>
      <c r="Q225" s="11" t="s">
        <v>291</v>
      </c>
    </row>
    <row r="226" spans="1:17" ht="15" customHeight="1" x14ac:dyDescent="0.2">
      <c r="A226" s="11" t="s">
        <v>766</v>
      </c>
      <c r="B226" s="11" t="s">
        <v>767</v>
      </c>
      <c r="C226" s="11"/>
      <c r="D226" s="11" t="s">
        <v>346</v>
      </c>
      <c r="E226" s="11" t="s">
        <v>759</v>
      </c>
      <c r="F226" s="11"/>
      <c r="G226" s="11"/>
      <c r="H226" s="11"/>
      <c r="I226" s="11"/>
      <c r="J226" s="11"/>
      <c r="K226" s="11"/>
      <c r="L226" s="11" t="s">
        <v>290</v>
      </c>
      <c r="M226" s="11"/>
      <c r="N226" s="11"/>
      <c r="O226" s="11">
        <v>20</v>
      </c>
      <c r="P226" s="11">
        <v>0</v>
      </c>
      <c r="Q226" s="11" t="s">
        <v>291</v>
      </c>
    </row>
    <row r="227" spans="1:17" ht="15" customHeight="1" x14ac:dyDescent="0.2">
      <c r="A227" s="11" t="s">
        <v>768</v>
      </c>
      <c r="B227" s="11" t="s">
        <v>769</v>
      </c>
      <c r="C227" s="11"/>
      <c r="D227" s="11" t="s">
        <v>346</v>
      </c>
      <c r="E227" s="11" t="s">
        <v>759</v>
      </c>
      <c r="F227" s="11"/>
      <c r="G227" s="11"/>
      <c r="H227" s="11"/>
      <c r="I227" s="11"/>
      <c r="J227" s="11"/>
      <c r="K227" s="11"/>
      <c r="L227" s="11" t="s">
        <v>290</v>
      </c>
      <c r="M227" s="11"/>
      <c r="N227" s="11"/>
      <c r="O227" s="11">
        <v>21</v>
      </c>
      <c r="P227" s="11">
        <v>0</v>
      </c>
      <c r="Q227" s="11" t="s">
        <v>291</v>
      </c>
    </row>
    <row r="228" spans="1:17" ht="15" customHeight="1" x14ac:dyDescent="0.2">
      <c r="A228" s="11" t="s">
        <v>770</v>
      </c>
      <c r="B228" s="11" t="s">
        <v>771</v>
      </c>
      <c r="C228" s="11"/>
      <c r="D228" s="11" t="s">
        <v>346</v>
      </c>
      <c r="E228" s="11" t="s">
        <v>759</v>
      </c>
      <c r="F228" s="11"/>
      <c r="G228" s="11"/>
      <c r="H228" s="11"/>
      <c r="I228" s="11"/>
      <c r="J228" s="11"/>
      <c r="K228" s="11"/>
      <c r="L228" s="11" t="s">
        <v>290</v>
      </c>
      <c r="M228" s="11"/>
      <c r="N228" s="11"/>
      <c r="O228" s="11">
        <v>22</v>
      </c>
      <c r="P228" s="11">
        <v>0</v>
      </c>
      <c r="Q228" s="11" t="s">
        <v>291</v>
      </c>
    </row>
    <row r="229" spans="1:17" ht="15" customHeight="1" x14ac:dyDescent="0.2">
      <c r="A229" s="11" t="s">
        <v>772</v>
      </c>
      <c r="B229" s="11" t="s">
        <v>773</v>
      </c>
      <c r="C229" s="11"/>
      <c r="D229" s="11" t="s">
        <v>346</v>
      </c>
      <c r="E229" s="11" t="s">
        <v>759</v>
      </c>
      <c r="F229" s="11"/>
      <c r="G229" s="11"/>
      <c r="H229" s="11"/>
      <c r="I229" s="11"/>
      <c r="J229" s="11"/>
      <c r="K229" s="11"/>
      <c r="L229" s="11" t="s">
        <v>290</v>
      </c>
      <c r="M229" s="11"/>
      <c r="N229" s="11"/>
      <c r="O229" s="11">
        <v>23</v>
      </c>
      <c r="P229" s="11">
        <v>0</v>
      </c>
      <c r="Q229" s="11" t="s">
        <v>291</v>
      </c>
    </row>
    <row r="230" spans="1:17" ht="15" customHeight="1" x14ac:dyDescent="0.2">
      <c r="A230" s="11" t="s">
        <v>774</v>
      </c>
      <c r="B230" s="11" t="s">
        <v>775</v>
      </c>
      <c r="C230" s="11"/>
      <c r="D230" s="11" t="s">
        <v>349</v>
      </c>
      <c r="E230" s="11" t="s">
        <v>759</v>
      </c>
      <c r="F230" s="11"/>
      <c r="G230" s="11"/>
      <c r="H230" s="11"/>
      <c r="I230" s="11"/>
      <c r="J230" s="11"/>
      <c r="K230" s="11"/>
      <c r="L230" s="11" t="s">
        <v>290</v>
      </c>
      <c r="M230" s="11"/>
      <c r="N230" s="11"/>
      <c r="O230" s="11">
        <v>30</v>
      </c>
      <c r="P230" s="11">
        <v>8</v>
      </c>
      <c r="Q230" s="11" t="s">
        <v>291</v>
      </c>
    </row>
    <row r="231" spans="1:17" ht="15" customHeight="1" x14ac:dyDescent="0.2">
      <c r="A231" s="11" t="s">
        <v>776</v>
      </c>
      <c r="B231" s="11" t="s">
        <v>777</v>
      </c>
      <c r="C231" s="11"/>
      <c r="D231" s="11" t="s">
        <v>349</v>
      </c>
      <c r="E231" s="11" t="s">
        <v>759</v>
      </c>
      <c r="F231" s="11"/>
      <c r="G231" s="11"/>
      <c r="H231" s="11"/>
      <c r="I231" s="11"/>
      <c r="J231" s="11"/>
      <c r="K231" s="11"/>
      <c r="L231" s="11" t="s">
        <v>290</v>
      </c>
      <c r="M231" s="11"/>
      <c r="N231" s="11"/>
      <c r="O231" s="11">
        <v>31</v>
      </c>
      <c r="P231" s="11">
        <v>7</v>
      </c>
      <c r="Q231" s="11" t="s">
        <v>291</v>
      </c>
    </row>
    <row r="232" spans="1:17" ht="15" customHeight="1" x14ac:dyDescent="0.2">
      <c r="A232" s="11" t="s">
        <v>778</v>
      </c>
      <c r="B232" s="11" t="s">
        <v>779</v>
      </c>
      <c r="C232" s="11"/>
      <c r="D232" s="11" t="s">
        <v>349</v>
      </c>
      <c r="E232" s="11" t="s">
        <v>759</v>
      </c>
      <c r="F232" s="11"/>
      <c r="G232" s="11"/>
      <c r="H232" s="11"/>
      <c r="I232" s="11"/>
      <c r="J232" s="11"/>
      <c r="K232" s="11"/>
      <c r="L232" s="11" t="s">
        <v>290</v>
      </c>
      <c r="M232" s="11"/>
      <c r="N232" s="11"/>
      <c r="O232" s="11">
        <v>32</v>
      </c>
      <c r="P232" s="11">
        <v>8</v>
      </c>
      <c r="Q232" s="11" t="s">
        <v>291</v>
      </c>
    </row>
    <row r="233" spans="1:17" ht="15" customHeight="1" x14ac:dyDescent="0.2">
      <c r="A233" s="11" t="s">
        <v>780</v>
      </c>
      <c r="B233" s="11" t="s">
        <v>781</v>
      </c>
      <c r="C233" s="11"/>
      <c r="D233" s="11" t="s">
        <v>349</v>
      </c>
      <c r="E233" s="11" t="s">
        <v>759</v>
      </c>
      <c r="F233" s="11"/>
      <c r="G233" s="11"/>
      <c r="H233" s="11"/>
      <c r="I233" s="11"/>
      <c r="J233" s="11"/>
      <c r="K233" s="11"/>
      <c r="L233" s="11" t="s">
        <v>290</v>
      </c>
      <c r="M233" s="11"/>
      <c r="N233" s="11"/>
      <c r="O233" s="11">
        <v>33</v>
      </c>
      <c r="P233" s="11">
        <v>0</v>
      </c>
      <c r="Q233" s="11" t="s">
        <v>350</v>
      </c>
    </row>
    <row r="234" spans="1:17" ht="15" customHeight="1" x14ac:dyDescent="0.2">
      <c r="A234" s="11" t="s">
        <v>782</v>
      </c>
      <c r="B234" s="11" t="s">
        <v>783</v>
      </c>
      <c r="C234" s="11"/>
      <c r="D234" s="11" t="s">
        <v>349</v>
      </c>
      <c r="E234" s="11" t="s">
        <v>759</v>
      </c>
      <c r="F234" s="11"/>
      <c r="G234" s="11"/>
      <c r="H234" s="11"/>
      <c r="I234" s="11"/>
      <c r="J234" s="11"/>
      <c r="K234" s="11"/>
      <c r="L234" s="11" t="s">
        <v>290</v>
      </c>
      <c r="M234" s="11"/>
      <c r="N234" s="11"/>
      <c r="O234" s="11">
        <v>34</v>
      </c>
      <c r="P234" s="11">
        <v>0</v>
      </c>
      <c r="Q234" s="11" t="s">
        <v>350</v>
      </c>
    </row>
    <row r="235" spans="1:17" ht="15" customHeight="1" x14ac:dyDescent="0.2">
      <c r="A235" s="11" t="s">
        <v>784</v>
      </c>
      <c r="B235" s="11" t="s">
        <v>785</v>
      </c>
      <c r="C235" s="11"/>
      <c r="D235" s="11" t="s">
        <v>359</v>
      </c>
      <c r="E235" s="11" t="s">
        <v>759</v>
      </c>
      <c r="F235" s="11"/>
      <c r="G235" s="11"/>
      <c r="H235" s="11"/>
      <c r="I235" s="11"/>
      <c r="J235" s="11"/>
      <c r="K235" s="11"/>
      <c r="L235" s="11" t="s">
        <v>290</v>
      </c>
      <c r="M235" s="11"/>
      <c r="N235" s="11"/>
      <c r="O235" s="11">
        <v>40</v>
      </c>
      <c r="P235" s="11">
        <v>0</v>
      </c>
      <c r="Q235" s="11" t="s">
        <v>350</v>
      </c>
    </row>
    <row r="236" spans="1:17" ht="15" customHeight="1" x14ac:dyDescent="0.2">
      <c r="A236" s="11" t="s">
        <v>786</v>
      </c>
      <c r="B236" s="11" t="s">
        <v>787</v>
      </c>
      <c r="C236" s="11"/>
      <c r="D236" s="11" t="s">
        <v>359</v>
      </c>
      <c r="E236" s="11" t="s">
        <v>759</v>
      </c>
      <c r="F236" s="11"/>
      <c r="G236" s="11"/>
      <c r="H236" s="11"/>
      <c r="I236" s="11"/>
      <c r="J236" s="11"/>
      <c r="K236" s="11"/>
      <c r="L236" s="11" t="s">
        <v>290</v>
      </c>
      <c r="M236" s="11"/>
      <c r="N236" s="11"/>
      <c r="O236" s="11">
        <v>41</v>
      </c>
      <c r="P236" s="11">
        <v>0</v>
      </c>
      <c r="Q236" s="11" t="s">
        <v>350</v>
      </c>
    </row>
    <row r="237" spans="1:17" ht="15" customHeight="1" x14ac:dyDescent="0.2">
      <c r="A237" s="11" t="s">
        <v>788</v>
      </c>
      <c r="B237" s="11" t="s">
        <v>789</v>
      </c>
      <c r="C237" s="11"/>
      <c r="D237" s="11" t="s">
        <v>359</v>
      </c>
      <c r="E237" s="11" t="s">
        <v>759</v>
      </c>
      <c r="F237" s="11"/>
      <c r="G237" s="11"/>
      <c r="H237" s="11"/>
      <c r="I237" s="11"/>
      <c r="J237" s="11"/>
      <c r="K237" s="11"/>
      <c r="L237" s="11" t="s">
        <v>290</v>
      </c>
      <c r="M237" s="11"/>
      <c r="N237" s="11"/>
      <c r="O237" s="11">
        <v>42</v>
      </c>
      <c r="P237" s="11">
        <v>0</v>
      </c>
      <c r="Q237" s="11" t="s">
        <v>350</v>
      </c>
    </row>
    <row r="238" spans="1:17" ht="15" customHeight="1" x14ac:dyDescent="0.2">
      <c r="A238" s="11" t="s">
        <v>790</v>
      </c>
      <c r="B238" s="11" t="s">
        <v>791</v>
      </c>
      <c r="C238" s="11"/>
      <c r="D238" s="11" t="s">
        <v>359</v>
      </c>
      <c r="E238" s="11" t="s">
        <v>759</v>
      </c>
      <c r="F238" s="11"/>
      <c r="G238" s="11"/>
      <c r="H238" s="11"/>
      <c r="I238" s="11"/>
      <c r="J238" s="11"/>
      <c r="K238" s="11"/>
      <c r="L238" s="11" t="s">
        <v>290</v>
      </c>
      <c r="M238" s="11"/>
      <c r="N238" s="11"/>
      <c r="O238" s="11">
        <v>43</v>
      </c>
      <c r="P238" s="11">
        <v>0</v>
      </c>
      <c r="Q238" s="11" t="s">
        <v>350</v>
      </c>
    </row>
    <row r="239" spans="1:17" ht="15" customHeight="1" x14ac:dyDescent="0.2">
      <c r="A239" s="11" t="s">
        <v>792</v>
      </c>
      <c r="B239" s="11" t="s">
        <v>793</v>
      </c>
      <c r="C239" s="11"/>
      <c r="D239" s="11" t="s">
        <v>288</v>
      </c>
      <c r="E239" s="11" t="s">
        <v>759</v>
      </c>
      <c r="F239" s="11"/>
      <c r="G239" s="11"/>
      <c r="H239" s="11"/>
      <c r="I239" s="11"/>
      <c r="J239" s="11"/>
      <c r="K239" s="11"/>
      <c r="L239" s="11" t="s">
        <v>290</v>
      </c>
      <c r="M239" s="11"/>
      <c r="N239" s="11"/>
      <c r="O239" s="11">
        <v>50</v>
      </c>
      <c r="P239" s="11">
        <v>0</v>
      </c>
      <c r="Q239" s="11" t="s">
        <v>291</v>
      </c>
    </row>
    <row r="240" spans="1:17" ht="15" customHeight="1" x14ac:dyDescent="0.2">
      <c r="A240" s="11" t="s">
        <v>794</v>
      </c>
      <c r="B240" s="11" t="s">
        <v>795</v>
      </c>
      <c r="C240" s="11"/>
      <c r="D240" s="11" t="s">
        <v>288</v>
      </c>
      <c r="E240" s="11" t="s">
        <v>759</v>
      </c>
      <c r="F240" s="11"/>
      <c r="G240" s="11"/>
      <c r="H240" s="11"/>
      <c r="I240" s="11"/>
      <c r="J240" s="11"/>
      <c r="K240" s="11"/>
      <c r="L240" s="11" t="s">
        <v>290</v>
      </c>
      <c r="M240" s="11"/>
      <c r="N240" s="11"/>
      <c r="O240" s="11">
        <v>51</v>
      </c>
      <c r="P240" s="11">
        <v>0</v>
      </c>
      <c r="Q240" s="11" t="s">
        <v>291</v>
      </c>
    </row>
    <row r="241" spans="1:17" ht="15" customHeight="1" x14ac:dyDescent="0.2">
      <c r="A241" s="11" t="s">
        <v>796</v>
      </c>
      <c r="B241" s="11" t="s">
        <v>797</v>
      </c>
      <c r="C241" s="11"/>
      <c r="D241" s="11" t="s">
        <v>288</v>
      </c>
      <c r="E241" s="11" t="s">
        <v>759</v>
      </c>
      <c r="F241" s="11"/>
      <c r="G241" s="11"/>
      <c r="H241" s="11"/>
      <c r="I241" s="11"/>
      <c r="J241" s="11"/>
      <c r="K241" s="11"/>
      <c r="L241" s="11" t="s">
        <v>290</v>
      </c>
      <c r="M241" s="11"/>
      <c r="N241" s="11"/>
      <c r="O241" s="11">
        <v>52</v>
      </c>
      <c r="P241" s="11">
        <v>0</v>
      </c>
      <c r="Q241" s="11" t="s">
        <v>291</v>
      </c>
    </row>
    <row r="242" spans="1:17" ht="15" customHeight="1" x14ac:dyDescent="0.2">
      <c r="A242" s="11" t="s">
        <v>274</v>
      </c>
      <c r="B242" s="11" t="s">
        <v>798</v>
      </c>
      <c r="C242" s="11"/>
      <c r="D242" s="11" t="s">
        <v>288</v>
      </c>
      <c r="E242" s="11" t="s">
        <v>759</v>
      </c>
      <c r="F242" s="11"/>
      <c r="G242" s="11"/>
      <c r="H242" s="11"/>
      <c r="I242" s="11"/>
      <c r="J242" s="11"/>
      <c r="K242" s="11"/>
      <c r="L242" s="11" t="s">
        <v>290</v>
      </c>
      <c r="M242" s="11"/>
      <c r="N242" s="11"/>
      <c r="O242" s="11">
        <v>53</v>
      </c>
      <c r="P242" s="11">
        <v>0</v>
      </c>
      <c r="Q242" s="11" t="s">
        <v>291</v>
      </c>
    </row>
    <row r="243" spans="1:17" ht="15" customHeight="1" x14ac:dyDescent="0.2">
      <c r="A243" s="11" t="s">
        <v>799</v>
      </c>
      <c r="B243" s="11" t="s">
        <v>800</v>
      </c>
      <c r="C243" s="11"/>
      <c r="D243" s="11" t="s">
        <v>288</v>
      </c>
      <c r="E243" s="11" t="s">
        <v>759</v>
      </c>
      <c r="F243" s="11"/>
      <c r="G243" s="11"/>
      <c r="H243" s="11"/>
      <c r="I243" s="11"/>
      <c r="J243" s="11"/>
      <c r="K243" s="11"/>
      <c r="L243" s="11" t="s">
        <v>290</v>
      </c>
      <c r="M243" s="11"/>
      <c r="N243" s="11"/>
      <c r="O243" s="11">
        <v>54</v>
      </c>
      <c r="P243" s="11">
        <v>0</v>
      </c>
      <c r="Q243" s="11" t="s">
        <v>291</v>
      </c>
    </row>
    <row r="244" spans="1:17" ht="15" customHeight="1" x14ac:dyDescent="0.2">
      <c r="A244" s="11" t="s">
        <v>801</v>
      </c>
      <c r="B244" s="11" t="s">
        <v>802</v>
      </c>
      <c r="C244" s="11"/>
      <c r="D244" s="11" t="s">
        <v>349</v>
      </c>
      <c r="E244" s="11" t="s">
        <v>184</v>
      </c>
      <c r="F244" s="11"/>
      <c r="G244" s="11"/>
      <c r="H244" s="11"/>
      <c r="I244" s="11"/>
      <c r="J244" s="11"/>
      <c r="K244" s="11"/>
      <c r="L244" s="11" t="s">
        <v>290</v>
      </c>
      <c r="M244" s="11"/>
      <c r="N244" s="11"/>
      <c r="O244" s="11">
        <v>610</v>
      </c>
      <c r="P244" s="11">
        <v>0</v>
      </c>
      <c r="Q244" s="11" t="s">
        <v>350</v>
      </c>
    </row>
    <row r="245" spans="1:17" ht="15" customHeight="1" x14ac:dyDescent="0.2">
      <c r="A245" s="11" t="s">
        <v>803</v>
      </c>
      <c r="B245" s="11" t="s">
        <v>804</v>
      </c>
      <c r="C245" s="11"/>
      <c r="D245" s="11" t="s">
        <v>294</v>
      </c>
      <c r="E245" s="11" t="s">
        <v>184</v>
      </c>
      <c r="F245" s="11"/>
      <c r="G245" s="11"/>
      <c r="H245" s="11"/>
      <c r="I245" s="11"/>
      <c r="J245" s="11"/>
      <c r="K245" s="11"/>
      <c r="L245" s="11" t="s">
        <v>290</v>
      </c>
      <c r="M245" s="11"/>
      <c r="N245" s="11"/>
      <c r="O245" s="11">
        <v>611</v>
      </c>
      <c r="P245" s="11">
        <v>0</v>
      </c>
      <c r="Q245" s="11" t="s">
        <v>291</v>
      </c>
    </row>
    <row r="246" spans="1:17" ht="15" customHeight="1" x14ac:dyDescent="0.2">
      <c r="A246" s="11" t="s">
        <v>805</v>
      </c>
      <c r="B246" s="11" t="s">
        <v>806</v>
      </c>
      <c r="C246" s="11"/>
      <c r="D246" s="11" t="s">
        <v>294</v>
      </c>
      <c r="E246" s="11" t="s">
        <v>184</v>
      </c>
      <c r="F246" s="11"/>
      <c r="G246" s="11"/>
      <c r="H246" s="11"/>
      <c r="I246" s="11"/>
      <c r="J246" s="11"/>
      <c r="K246" s="11"/>
      <c r="L246" s="11" t="s">
        <v>290</v>
      </c>
      <c r="M246" s="11"/>
      <c r="N246" s="11"/>
      <c r="O246" s="11">
        <v>612</v>
      </c>
      <c r="P246" s="11">
        <v>0</v>
      </c>
      <c r="Q246" s="11" t="s">
        <v>291</v>
      </c>
    </row>
    <row r="247" spans="1:17" ht="15" customHeight="1" x14ac:dyDescent="0.2">
      <c r="A247" s="11" t="s">
        <v>807</v>
      </c>
      <c r="B247" s="11" t="s">
        <v>808</v>
      </c>
      <c r="C247" s="11"/>
      <c r="D247" s="11" t="s">
        <v>294</v>
      </c>
      <c r="E247" s="11" t="s">
        <v>184</v>
      </c>
      <c r="F247" s="11"/>
      <c r="G247" s="11"/>
      <c r="H247" s="11"/>
      <c r="I247" s="11"/>
      <c r="J247" s="11"/>
      <c r="K247" s="11"/>
      <c r="L247" s="11" t="s">
        <v>290</v>
      </c>
      <c r="M247" s="11"/>
      <c r="N247" s="11"/>
      <c r="O247" s="11">
        <v>613</v>
      </c>
      <c r="P247" s="11">
        <v>0</v>
      </c>
      <c r="Q247" s="11" t="s">
        <v>291</v>
      </c>
    </row>
    <row r="248" spans="1:17" ht="15" customHeight="1" x14ac:dyDescent="0.2">
      <c r="A248" s="11" t="s">
        <v>809</v>
      </c>
      <c r="B248" s="11" t="s">
        <v>810</v>
      </c>
      <c r="C248" s="11"/>
      <c r="D248" s="11" t="s">
        <v>341</v>
      </c>
      <c r="E248" s="11" t="s">
        <v>133</v>
      </c>
      <c r="F248" s="11"/>
      <c r="G248" s="11"/>
      <c r="H248" s="11"/>
      <c r="I248" s="11"/>
      <c r="J248" s="11"/>
      <c r="K248" s="11"/>
      <c r="L248" s="11" t="s">
        <v>290</v>
      </c>
      <c r="M248" s="11"/>
      <c r="N248" s="11"/>
      <c r="O248" s="11">
        <v>60</v>
      </c>
      <c r="P248" s="11">
        <v>8</v>
      </c>
      <c r="Q248" s="11" t="s">
        <v>291</v>
      </c>
    </row>
    <row r="249" spans="1:17" ht="15" customHeight="1" x14ac:dyDescent="0.2">
      <c r="A249" s="11" t="s">
        <v>811</v>
      </c>
      <c r="B249" s="11" t="s">
        <v>812</v>
      </c>
      <c r="C249" s="11"/>
      <c r="D249" s="11" t="s">
        <v>341</v>
      </c>
      <c r="E249" s="11" t="s">
        <v>133</v>
      </c>
      <c r="F249" s="11"/>
      <c r="G249" s="11"/>
      <c r="H249" s="11"/>
      <c r="I249" s="11"/>
      <c r="J249" s="11"/>
      <c r="K249" s="11"/>
      <c r="L249" s="11" t="s">
        <v>290</v>
      </c>
      <c r="M249" s="11"/>
      <c r="N249" s="11"/>
      <c r="O249" s="11">
        <v>61</v>
      </c>
      <c r="P249" s="11">
        <v>7</v>
      </c>
      <c r="Q249" s="11" t="s">
        <v>291</v>
      </c>
    </row>
    <row r="250" spans="1:17" ht="15" customHeight="1" x14ac:dyDescent="0.2">
      <c r="A250" s="11" t="s">
        <v>813</v>
      </c>
      <c r="B250" s="11" t="s">
        <v>814</v>
      </c>
      <c r="C250" s="11"/>
      <c r="D250" s="11" t="s">
        <v>346</v>
      </c>
      <c r="E250" s="11" t="s">
        <v>133</v>
      </c>
      <c r="F250" s="11"/>
      <c r="G250" s="11"/>
      <c r="H250" s="11"/>
      <c r="I250" s="11"/>
      <c r="J250" s="11"/>
      <c r="K250" s="11"/>
      <c r="L250" s="11" t="s">
        <v>290</v>
      </c>
      <c r="M250" s="11"/>
      <c r="N250" s="11"/>
      <c r="O250" s="11">
        <v>62</v>
      </c>
      <c r="P250" s="11">
        <v>0</v>
      </c>
      <c r="Q250" s="11" t="s">
        <v>291</v>
      </c>
    </row>
    <row r="251" spans="1:17" ht="15" customHeight="1" x14ac:dyDescent="0.2">
      <c r="A251" s="11" t="s">
        <v>815</v>
      </c>
      <c r="B251" s="11" t="s">
        <v>816</v>
      </c>
      <c r="C251" s="11"/>
      <c r="D251" s="11" t="s">
        <v>288</v>
      </c>
      <c r="E251" s="11" t="s">
        <v>133</v>
      </c>
      <c r="F251" s="11"/>
      <c r="G251" s="11"/>
      <c r="H251" s="11"/>
      <c r="I251" s="11"/>
      <c r="J251" s="11"/>
      <c r="K251" s="11"/>
      <c r="L251" s="11" t="s">
        <v>290</v>
      </c>
      <c r="M251" s="11"/>
      <c r="N251" s="11"/>
      <c r="O251" s="11">
        <v>70</v>
      </c>
      <c r="P251" s="11">
        <v>0</v>
      </c>
      <c r="Q251" s="11" t="s">
        <v>291</v>
      </c>
    </row>
    <row r="252" spans="1:17" ht="15" customHeight="1" x14ac:dyDescent="0.2">
      <c r="A252" s="11" t="s">
        <v>817</v>
      </c>
      <c r="B252" s="11" t="s">
        <v>818</v>
      </c>
      <c r="C252" s="11"/>
      <c r="D252" s="11" t="s">
        <v>288</v>
      </c>
      <c r="E252" s="11" t="s">
        <v>133</v>
      </c>
      <c r="F252" s="11"/>
      <c r="G252" s="11"/>
      <c r="H252" s="11"/>
      <c r="I252" s="11"/>
      <c r="J252" s="11"/>
      <c r="K252" s="11"/>
      <c r="L252" s="11" t="s">
        <v>290</v>
      </c>
      <c r="M252" s="11"/>
      <c r="N252" s="11"/>
      <c r="O252" s="11">
        <v>71</v>
      </c>
      <c r="P252" s="11">
        <v>0</v>
      </c>
      <c r="Q252" s="11" t="s">
        <v>291</v>
      </c>
    </row>
    <row r="253" spans="1:17" ht="15" customHeight="1" x14ac:dyDescent="0.2">
      <c r="A253" s="11" t="s">
        <v>819</v>
      </c>
      <c r="B253" s="11" t="s">
        <v>820</v>
      </c>
      <c r="C253" s="11"/>
      <c r="D253" s="11" t="s">
        <v>288</v>
      </c>
      <c r="E253" s="11" t="s">
        <v>133</v>
      </c>
      <c r="F253" s="11"/>
      <c r="G253" s="11"/>
      <c r="H253" s="11"/>
      <c r="I253" s="11"/>
      <c r="J253" s="11"/>
      <c r="K253" s="11"/>
      <c r="L253" s="11" t="s">
        <v>290</v>
      </c>
      <c r="M253" s="11"/>
      <c r="N253" s="11"/>
      <c r="O253" s="11">
        <v>72</v>
      </c>
      <c r="P253" s="11">
        <v>0</v>
      </c>
      <c r="Q253" s="11" t="s">
        <v>291</v>
      </c>
    </row>
    <row r="254" spans="1:17" ht="15" customHeight="1" x14ac:dyDescent="0.2">
      <c r="A254" s="11" t="s">
        <v>821</v>
      </c>
      <c r="B254" s="11" t="s">
        <v>822</v>
      </c>
      <c r="C254" s="11"/>
      <c r="D254" s="11" t="s">
        <v>294</v>
      </c>
      <c r="E254" s="11" t="s">
        <v>133</v>
      </c>
      <c r="F254" s="11"/>
      <c r="G254" s="11"/>
      <c r="H254" s="11"/>
      <c r="I254" s="11"/>
      <c r="J254" s="11"/>
      <c r="K254" s="11"/>
      <c r="L254" s="11" t="s">
        <v>290</v>
      </c>
      <c r="M254" s="11"/>
      <c r="N254" s="11"/>
      <c r="O254" s="11">
        <v>80</v>
      </c>
      <c r="P254" s="11">
        <v>0</v>
      </c>
      <c r="Q254" s="11" t="s">
        <v>291</v>
      </c>
    </row>
    <row r="255" spans="1:17" ht="15" customHeight="1" x14ac:dyDescent="0.2">
      <c r="A255" s="11" t="s">
        <v>823</v>
      </c>
      <c r="B255" s="11" t="s">
        <v>824</v>
      </c>
      <c r="C255" s="11"/>
      <c r="D255" s="11" t="s">
        <v>294</v>
      </c>
      <c r="E255" s="11" t="s">
        <v>133</v>
      </c>
      <c r="F255" s="11"/>
      <c r="G255" s="11"/>
      <c r="H255" s="11"/>
      <c r="I255" s="11"/>
      <c r="J255" s="11"/>
      <c r="K255" s="11"/>
      <c r="L255" s="11" t="s">
        <v>290</v>
      </c>
      <c r="M255" s="11"/>
      <c r="N255" s="11"/>
      <c r="O255" s="11">
        <v>81</v>
      </c>
      <c r="P255" s="11">
        <v>0</v>
      </c>
      <c r="Q255" s="11" t="s">
        <v>291</v>
      </c>
    </row>
    <row r="256" spans="1:17" ht="15" customHeight="1" x14ac:dyDescent="0.2">
      <c r="A256" s="11" t="s">
        <v>825</v>
      </c>
      <c r="B256" s="11" t="s">
        <v>826</v>
      </c>
      <c r="C256" s="11"/>
      <c r="D256" s="11" t="s">
        <v>294</v>
      </c>
      <c r="E256" s="11" t="s">
        <v>133</v>
      </c>
      <c r="F256" s="11"/>
      <c r="G256" s="11"/>
      <c r="H256" s="11"/>
      <c r="I256" s="11"/>
      <c r="J256" s="11"/>
      <c r="K256" s="11"/>
      <c r="L256" s="11" t="s">
        <v>290</v>
      </c>
      <c r="M256" s="11"/>
      <c r="N256" s="11"/>
      <c r="O256" s="11">
        <v>82</v>
      </c>
      <c r="P256" s="11">
        <v>0</v>
      </c>
      <c r="Q256" s="11" t="s">
        <v>291</v>
      </c>
    </row>
    <row r="257" spans="1:17" ht="15" customHeight="1" x14ac:dyDescent="0.2">
      <c r="A257" s="11" t="s">
        <v>827</v>
      </c>
      <c r="B257" s="11" t="s">
        <v>828</v>
      </c>
      <c r="C257" s="11"/>
      <c r="D257" s="11" t="s">
        <v>294</v>
      </c>
      <c r="E257" s="11" t="s">
        <v>133</v>
      </c>
      <c r="F257" s="11"/>
      <c r="G257" s="11"/>
      <c r="H257" s="11"/>
      <c r="I257" s="11"/>
      <c r="J257" s="11"/>
      <c r="K257" s="11"/>
      <c r="L257" s="11" t="s">
        <v>290</v>
      </c>
      <c r="M257" s="11"/>
      <c r="N257" s="11"/>
      <c r="O257" s="11">
        <v>83</v>
      </c>
      <c r="P257" s="11">
        <v>0</v>
      </c>
      <c r="Q257" s="11" t="s">
        <v>291</v>
      </c>
    </row>
    <row r="258" spans="1:17" ht="15" customHeight="1" x14ac:dyDescent="0.2">
      <c r="A258" s="11" t="s">
        <v>829</v>
      </c>
      <c r="B258" s="11" t="s">
        <v>830</v>
      </c>
      <c r="C258" s="11"/>
      <c r="D258" s="11" t="s">
        <v>294</v>
      </c>
      <c r="E258" s="11" t="s">
        <v>133</v>
      </c>
      <c r="F258" s="11"/>
      <c r="G258" s="11"/>
      <c r="H258" s="11"/>
      <c r="I258" s="11"/>
      <c r="J258" s="11"/>
      <c r="K258" s="11"/>
      <c r="L258" s="11" t="s">
        <v>290</v>
      </c>
      <c r="M258" s="11"/>
      <c r="N258" s="11"/>
      <c r="O258" s="11">
        <v>84</v>
      </c>
      <c r="P258" s="11">
        <v>0</v>
      </c>
      <c r="Q258" s="11" t="s">
        <v>291</v>
      </c>
    </row>
    <row r="259" spans="1:17" ht="15" customHeight="1" x14ac:dyDescent="0.2">
      <c r="A259" s="11" t="s">
        <v>831</v>
      </c>
      <c r="B259" s="11" t="s">
        <v>832</v>
      </c>
      <c r="C259" s="11"/>
      <c r="D259" s="11" t="s">
        <v>294</v>
      </c>
      <c r="E259" s="11" t="s">
        <v>133</v>
      </c>
      <c r="F259" s="11"/>
      <c r="G259" s="11"/>
      <c r="H259" s="11"/>
      <c r="I259" s="11"/>
      <c r="J259" s="11"/>
      <c r="K259" s="11"/>
      <c r="L259" s="11" t="s">
        <v>290</v>
      </c>
      <c r="M259" s="11"/>
      <c r="N259" s="11"/>
      <c r="O259" s="11">
        <v>85</v>
      </c>
      <c r="P259" s="11">
        <v>0</v>
      </c>
      <c r="Q259" s="11" t="s">
        <v>291</v>
      </c>
    </row>
    <row r="260" spans="1:17" ht="15" customHeight="1" x14ac:dyDescent="0.2">
      <c r="A260" s="11" t="s">
        <v>833</v>
      </c>
      <c r="B260" s="11" t="s">
        <v>834</v>
      </c>
      <c r="C260" s="11"/>
      <c r="D260" s="11" t="s">
        <v>294</v>
      </c>
      <c r="E260" s="11" t="s">
        <v>133</v>
      </c>
      <c r="F260" s="11"/>
      <c r="G260" s="11"/>
      <c r="H260" s="11"/>
      <c r="I260" s="11"/>
      <c r="J260" s="11"/>
      <c r="K260" s="11"/>
      <c r="L260" s="11" t="s">
        <v>290</v>
      </c>
      <c r="M260" s="11"/>
      <c r="N260" s="11"/>
      <c r="O260" s="11">
        <v>86</v>
      </c>
      <c r="P260" s="11">
        <v>0</v>
      </c>
      <c r="Q260" s="11" t="s">
        <v>291</v>
      </c>
    </row>
    <row r="261" spans="1:17" ht="15" customHeight="1" x14ac:dyDescent="0.2">
      <c r="A261" s="11" t="s">
        <v>835</v>
      </c>
      <c r="B261" s="11" t="s">
        <v>836</v>
      </c>
      <c r="C261" s="11"/>
      <c r="D261" s="11" t="s">
        <v>288</v>
      </c>
      <c r="E261" s="11" t="s">
        <v>200</v>
      </c>
      <c r="F261" s="11"/>
      <c r="G261" s="11"/>
      <c r="H261" s="11"/>
      <c r="I261" s="11"/>
      <c r="J261" s="11"/>
      <c r="K261" s="11"/>
      <c r="L261" s="11" t="s">
        <v>290</v>
      </c>
      <c r="M261" s="11"/>
      <c r="N261" s="11"/>
      <c r="O261" s="11">
        <v>390</v>
      </c>
      <c r="P261" s="11">
        <v>0</v>
      </c>
      <c r="Q261" s="11" t="s">
        <v>291</v>
      </c>
    </row>
    <row r="262" spans="1:17" ht="15" customHeight="1" x14ac:dyDescent="0.2">
      <c r="A262" s="11" t="s">
        <v>837</v>
      </c>
      <c r="B262" s="11" t="s">
        <v>838</v>
      </c>
      <c r="C262" s="11"/>
      <c r="D262" s="11" t="s">
        <v>288</v>
      </c>
      <c r="E262" s="11" t="s">
        <v>200</v>
      </c>
      <c r="F262" s="11"/>
      <c r="G262" s="11"/>
      <c r="H262" s="11"/>
      <c r="I262" s="11"/>
      <c r="J262" s="11"/>
      <c r="K262" s="11"/>
      <c r="L262" s="11" t="s">
        <v>290</v>
      </c>
      <c r="M262" s="11"/>
      <c r="N262" s="11"/>
      <c r="O262" s="11">
        <v>391</v>
      </c>
      <c r="P262" s="11">
        <v>0</v>
      </c>
      <c r="Q262" s="11" t="s">
        <v>291</v>
      </c>
    </row>
    <row r="263" spans="1:17" ht="15" customHeight="1" x14ac:dyDescent="0.2">
      <c r="A263" s="11" t="s">
        <v>839</v>
      </c>
      <c r="B263" s="11" t="s">
        <v>840</v>
      </c>
      <c r="C263" s="11"/>
      <c r="D263" s="11" t="s">
        <v>346</v>
      </c>
      <c r="E263" s="11" t="s">
        <v>200</v>
      </c>
      <c r="F263" s="11"/>
      <c r="G263" s="11"/>
      <c r="H263" s="11"/>
      <c r="I263" s="11"/>
      <c r="J263" s="11"/>
      <c r="K263" s="11"/>
      <c r="L263" s="11" t="s">
        <v>290</v>
      </c>
      <c r="M263" s="11"/>
      <c r="N263" s="11"/>
      <c r="O263" s="11">
        <v>392</v>
      </c>
      <c r="P263" s="11">
        <v>0</v>
      </c>
      <c r="Q263" s="11" t="s">
        <v>291</v>
      </c>
    </row>
    <row r="264" spans="1:17" ht="15" customHeight="1" x14ac:dyDescent="0.2">
      <c r="A264" s="11" t="s">
        <v>841</v>
      </c>
      <c r="B264" s="11" t="s">
        <v>842</v>
      </c>
      <c r="C264" s="11"/>
      <c r="D264" s="11" t="s">
        <v>294</v>
      </c>
      <c r="E264" s="11" t="s">
        <v>200</v>
      </c>
      <c r="F264" s="11"/>
      <c r="G264" s="11"/>
      <c r="H264" s="11"/>
      <c r="I264" s="11"/>
      <c r="J264" s="11"/>
      <c r="K264" s="11"/>
      <c r="L264" s="11" t="s">
        <v>290</v>
      </c>
      <c r="M264" s="11"/>
      <c r="N264" s="11"/>
      <c r="O264" s="11">
        <v>393</v>
      </c>
      <c r="P264" s="11">
        <v>0</v>
      </c>
      <c r="Q264" s="11" t="s">
        <v>291</v>
      </c>
    </row>
    <row r="265" spans="1:17" ht="15" customHeight="1" x14ac:dyDescent="0.2">
      <c r="A265" s="11" t="s">
        <v>843</v>
      </c>
      <c r="B265" s="11" t="s">
        <v>844</v>
      </c>
      <c r="C265" s="11"/>
      <c r="D265" s="11" t="s">
        <v>341</v>
      </c>
      <c r="E265" s="11" t="s">
        <v>187</v>
      </c>
      <c r="F265" s="11"/>
      <c r="G265" s="11"/>
      <c r="H265" s="11"/>
      <c r="I265" s="11"/>
      <c r="J265" s="11"/>
      <c r="K265" s="11"/>
      <c r="L265" s="11" t="s">
        <v>290</v>
      </c>
      <c r="M265" s="11"/>
      <c r="N265" s="11"/>
      <c r="O265" s="11">
        <v>330</v>
      </c>
      <c r="P265" s="11">
        <v>0</v>
      </c>
      <c r="Q265" s="11" t="s">
        <v>350</v>
      </c>
    </row>
    <row r="266" spans="1:17" ht="15" customHeight="1" x14ac:dyDescent="0.2">
      <c r="A266" s="11" t="s">
        <v>845</v>
      </c>
      <c r="B266" s="11" t="s">
        <v>846</v>
      </c>
      <c r="C266" s="11"/>
      <c r="D266" s="11" t="s">
        <v>346</v>
      </c>
      <c r="E266" s="11" t="s">
        <v>187</v>
      </c>
      <c r="F266" s="11"/>
      <c r="G266" s="11"/>
      <c r="H266" s="11"/>
      <c r="I266" s="11"/>
      <c r="J266" s="11"/>
      <c r="K266" s="11"/>
      <c r="L266" s="11" t="s">
        <v>290</v>
      </c>
      <c r="M266" s="11"/>
      <c r="N266" s="11"/>
      <c r="O266" s="11">
        <v>331</v>
      </c>
      <c r="P266" s="11">
        <v>0</v>
      </c>
      <c r="Q266" s="11" t="s">
        <v>291</v>
      </c>
    </row>
    <row r="267" spans="1:17" ht="15" customHeight="1" x14ac:dyDescent="0.2">
      <c r="A267" s="11" t="s">
        <v>847</v>
      </c>
      <c r="B267" s="11" t="s">
        <v>848</v>
      </c>
      <c r="C267" s="11"/>
      <c r="D267" s="11" t="s">
        <v>346</v>
      </c>
      <c r="E267" s="11" t="s">
        <v>187</v>
      </c>
      <c r="F267" s="11"/>
      <c r="G267" s="11"/>
      <c r="H267" s="11"/>
      <c r="I267" s="11"/>
      <c r="J267" s="11"/>
      <c r="K267" s="11"/>
      <c r="L267" s="11" t="s">
        <v>290</v>
      </c>
      <c r="M267" s="11"/>
      <c r="N267" s="11"/>
      <c r="O267" s="11">
        <v>332</v>
      </c>
      <c r="P267" s="11">
        <v>0</v>
      </c>
      <c r="Q267" s="11" t="s">
        <v>291</v>
      </c>
    </row>
    <row r="268" spans="1:17" ht="15" customHeight="1" x14ac:dyDescent="0.2">
      <c r="A268" s="11" t="s">
        <v>849</v>
      </c>
      <c r="B268" s="11" t="s">
        <v>850</v>
      </c>
      <c r="C268" s="11"/>
      <c r="D268" s="11" t="s">
        <v>359</v>
      </c>
      <c r="E268" s="11" t="s">
        <v>187</v>
      </c>
      <c r="F268" s="11"/>
      <c r="G268" s="11"/>
      <c r="H268" s="11"/>
      <c r="I268" s="11"/>
      <c r="J268" s="11"/>
      <c r="K268" s="11"/>
      <c r="L268" s="11" t="s">
        <v>290</v>
      </c>
      <c r="M268" s="11"/>
      <c r="N268" s="11"/>
      <c r="O268" s="11">
        <v>333</v>
      </c>
      <c r="P268" s="11">
        <v>0</v>
      </c>
      <c r="Q268" s="11" t="s">
        <v>350</v>
      </c>
    </row>
    <row r="269" spans="1:17" ht="15" customHeight="1" x14ac:dyDescent="0.2">
      <c r="A269" s="11" t="s">
        <v>851</v>
      </c>
      <c r="B269" s="11" t="s">
        <v>852</v>
      </c>
      <c r="C269" s="11"/>
      <c r="D269" s="11" t="s">
        <v>288</v>
      </c>
      <c r="E269" s="11" t="s">
        <v>187</v>
      </c>
      <c r="F269" s="11"/>
      <c r="G269" s="11"/>
      <c r="H269" s="11"/>
      <c r="I269" s="11"/>
      <c r="J269" s="11"/>
      <c r="K269" s="11"/>
      <c r="L269" s="11" t="s">
        <v>290</v>
      </c>
      <c r="M269" s="11"/>
      <c r="N269" s="11"/>
      <c r="O269" s="11">
        <v>334</v>
      </c>
      <c r="P269" s="11">
        <v>0</v>
      </c>
      <c r="Q269" s="11" t="s">
        <v>291</v>
      </c>
    </row>
    <row r="270" spans="1:17" ht="15" customHeight="1" x14ac:dyDescent="0.2">
      <c r="A270" s="11" t="s">
        <v>853</v>
      </c>
      <c r="B270" s="11" t="s">
        <v>854</v>
      </c>
      <c r="C270" s="11"/>
      <c r="D270" s="11" t="s">
        <v>288</v>
      </c>
      <c r="E270" s="11" t="s">
        <v>187</v>
      </c>
      <c r="F270" s="11"/>
      <c r="G270" s="11"/>
      <c r="H270" s="11"/>
      <c r="I270" s="11"/>
      <c r="J270" s="11"/>
      <c r="K270" s="11"/>
      <c r="L270" s="11" t="s">
        <v>290</v>
      </c>
      <c r="M270" s="11"/>
      <c r="N270" s="11"/>
      <c r="O270" s="11">
        <v>335</v>
      </c>
      <c r="P270" s="11">
        <v>0</v>
      </c>
      <c r="Q270" s="11" t="s">
        <v>291</v>
      </c>
    </row>
    <row r="271" spans="1:17" ht="15" customHeight="1" x14ac:dyDescent="0.2">
      <c r="A271" s="11" t="s">
        <v>855</v>
      </c>
      <c r="B271" s="11" t="s">
        <v>856</v>
      </c>
      <c r="C271" s="11"/>
      <c r="D271" s="11" t="s">
        <v>294</v>
      </c>
      <c r="E271" s="11" t="s">
        <v>187</v>
      </c>
      <c r="F271" s="11"/>
      <c r="G271" s="11"/>
      <c r="H271" s="11"/>
      <c r="I271" s="11"/>
      <c r="J271" s="11"/>
      <c r="K271" s="11"/>
      <c r="L271" s="11" t="s">
        <v>290</v>
      </c>
      <c r="M271" s="11"/>
      <c r="N271" s="11"/>
      <c r="O271" s="11">
        <v>336</v>
      </c>
      <c r="P271" s="11">
        <v>0</v>
      </c>
      <c r="Q271" s="11" t="s">
        <v>291</v>
      </c>
    </row>
    <row r="272" spans="1:17" ht="15" customHeight="1" x14ac:dyDescent="0.2">
      <c r="A272" s="11" t="s">
        <v>857</v>
      </c>
      <c r="B272" s="11" t="s">
        <v>858</v>
      </c>
      <c r="C272" s="11"/>
      <c r="D272" s="11" t="s">
        <v>294</v>
      </c>
      <c r="E272" s="11" t="s">
        <v>187</v>
      </c>
      <c r="F272" s="11"/>
      <c r="G272" s="11"/>
      <c r="H272" s="11"/>
      <c r="I272" s="11"/>
      <c r="J272" s="11"/>
      <c r="K272" s="11"/>
      <c r="L272" s="11" t="s">
        <v>290</v>
      </c>
      <c r="M272" s="11"/>
      <c r="N272" s="11"/>
      <c r="O272" s="11">
        <v>337</v>
      </c>
      <c r="P272" s="11">
        <v>0</v>
      </c>
      <c r="Q272" s="11" t="s">
        <v>291</v>
      </c>
    </row>
    <row r="273" spans="1:17" ht="15" customHeight="1" x14ac:dyDescent="0.2">
      <c r="A273" s="11" t="s">
        <v>859</v>
      </c>
      <c r="B273" s="11" t="s">
        <v>860</v>
      </c>
      <c r="C273" s="11"/>
      <c r="D273" s="11" t="s">
        <v>349</v>
      </c>
      <c r="E273" s="11" t="s">
        <v>196</v>
      </c>
      <c r="F273" s="11"/>
      <c r="G273" s="11"/>
      <c r="H273" s="11"/>
      <c r="I273" s="11"/>
      <c r="J273" s="11"/>
      <c r="K273" s="11"/>
      <c r="L273" s="11" t="s">
        <v>290</v>
      </c>
      <c r="M273" s="11"/>
      <c r="N273" s="11"/>
      <c r="O273" s="11">
        <v>370</v>
      </c>
      <c r="P273" s="11">
        <v>0</v>
      </c>
      <c r="Q273" s="11" t="s">
        <v>350</v>
      </c>
    </row>
    <row r="274" spans="1:17" ht="15" customHeight="1" x14ac:dyDescent="0.2">
      <c r="A274" s="11" t="s">
        <v>861</v>
      </c>
      <c r="B274" s="11" t="s">
        <v>862</v>
      </c>
      <c r="C274" s="11"/>
      <c r="D274" s="11" t="s">
        <v>359</v>
      </c>
      <c r="E274" s="11" t="s">
        <v>196</v>
      </c>
      <c r="F274" s="11"/>
      <c r="G274" s="11"/>
      <c r="H274" s="11"/>
      <c r="I274" s="11"/>
      <c r="J274" s="11"/>
      <c r="K274" s="11"/>
      <c r="L274" s="11" t="s">
        <v>290</v>
      </c>
      <c r="M274" s="11"/>
      <c r="N274" s="11"/>
      <c r="O274" s="11">
        <v>371</v>
      </c>
      <c r="P274" s="11">
        <v>0</v>
      </c>
      <c r="Q274" s="11" t="s">
        <v>350</v>
      </c>
    </row>
    <row r="275" spans="1:17" ht="15" customHeight="1" x14ac:dyDescent="0.2">
      <c r="A275" s="11" t="s">
        <v>863</v>
      </c>
      <c r="B275" s="11" t="s">
        <v>864</v>
      </c>
      <c r="C275" s="11"/>
      <c r="D275" s="11" t="s">
        <v>346</v>
      </c>
      <c r="E275" s="11" t="s">
        <v>196</v>
      </c>
      <c r="F275" s="11"/>
      <c r="G275" s="11"/>
      <c r="H275" s="11"/>
      <c r="I275" s="11"/>
      <c r="J275" s="11"/>
      <c r="K275" s="11"/>
      <c r="L275" s="11" t="s">
        <v>290</v>
      </c>
      <c r="M275" s="11"/>
      <c r="N275" s="11"/>
      <c r="O275" s="11">
        <v>372</v>
      </c>
      <c r="P275" s="11">
        <v>0</v>
      </c>
      <c r="Q275" s="11" t="s">
        <v>291</v>
      </c>
    </row>
    <row r="276" spans="1:17" ht="15" customHeight="1" x14ac:dyDescent="0.2">
      <c r="A276" s="11" t="s">
        <v>865</v>
      </c>
      <c r="B276" s="11" t="s">
        <v>866</v>
      </c>
      <c r="C276" s="11"/>
      <c r="D276" s="11" t="s">
        <v>288</v>
      </c>
      <c r="E276" s="11" t="s">
        <v>196</v>
      </c>
      <c r="F276" s="11"/>
      <c r="G276" s="11"/>
      <c r="H276" s="11"/>
      <c r="I276" s="11"/>
      <c r="J276" s="11"/>
      <c r="K276" s="11"/>
      <c r="L276" s="11" t="s">
        <v>290</v>
      </c>
      <c r="M276" s="11"/>
      <c r="N276" s="11"/>
      <c r="O276" s="11">
        <v>373</v>
      </c>
      <c r="P276" s="11">
        <v>0</v>
      </c>
      <c r="Q276" s="11" t="s">
        <v>291</v>
      </c>
    </row>
    <row r="277" spans="1:17" ht="15" customHeight="1" x14ac:dyDescent="0.2">
      <c r="A277" s="11" t="s">
        <v>867</v>
      </c>
      <c r="B277" s="11" t="s">
        <v>868</v>
      </c>
      <c r="C277" s="11"/>
      <c r="D277" s="11" t="s">
        <v>294</v>
      </c>
      <c r="E277" s="11" t="s">
        <v>196</v>
      </c>
      <c r="F277" s="11"/>
      <c r="G277" s="11"/>
      <c r="H277" s="11"/>
      <c r="I277" s="11"/>
      <c r="J277" s="11"/>
      <c r="K277" s="11"/>
      <c r="L277" s="11" t="s">
        <v>290</v>
      </c>
      <c r="M277" s="11"/>
      <c r="N277" s="11"/>
      <c r="O277" s="11">
        <v>374</v>
      </c>
      <c r="P277" s="11">
        <v>0</v>
      </c>
      <c r="Q277" s="11" t="s">
        <v>291</v>
      </c>
    </row>
    <row r="278" spans="1:17" ht="15" customHeight="1" x14ac:dyDescent="0.2">
      <c r="A278" s="11" t="s">
        <v>869</v>
      </c>
      <c r="B278" s="11" t="s">
        <v>870</v>
      </c>
      <c r="C278" s="11"/>
      <c r="D278" s="11" t="s">
        <v>294</v>
      </c>
      <c r="E278" s="11" t="s">
        <v>196</v>
      </c>
      <c r="F278" s="11"/>
      <c r="G278" s="11"/>
      <c r="H278" s="11"/>
      <c r="I278" s="11"/>
      <c r="J278" s="11"/>
      <c r="K278" s="11"/>
      <c r="L278" s="11" t="s">
        <v>290</v>
      </c>
      <c r="M278" s="11"/>
      <c r="N278" s="11"/>
      <c r="O278" s="11">
        <v>375</v>
      </c>
      <c r="P278" s="11">
        <v>0</v>
      </c>
      <c r="Q278" s="11" t="s">
        <v>291</v>
      </c>
    </row>
    <row r="279" spans="1:17" ht="15" customHeight="1" x14ac:dyDescent="0.2">
      <c r="A279" s="11" t="s">
        <v>871</v>
      </c>
      <c r="B279" s="11" t="s">
        <v>872</v>
      </c>
      <c r="C279" s="11"/>
      <c r="D279" s="11" t="s">
        <v>288</v>
      </c>
      <c r="E279" s="11" t="s">
        <v>196</v>
      </c>
      <c r="F279" s="11"/>
      <c r="G279" s="11"/>
      <c r="H279" s="11"/>
      <c r="I279" s="11"/>
      <c r="J279" s="11"/>
      <c r="K279" s="11"/>
      <c r="L279" s="11" t="s">
        <v>290</v>
      </c>
      <c r="M279" s="11"/>
      <c r="N279" s="11"/>
      <c r="O279" s="11">
        <v>376</v>
      </c>
      <c r="P279" s="11">
        <v>0</v>
      </c>
      <c r="Q279" s="11" t="s">
        <v>291</v>
      </c>
    </row>
    <row r="280" spans="1:17" ht="15" customHeight="1" x14ac:dyDescent="0.2">
      <c r="A280" s="11" t="s">
        <v>873</v>
      </c>
      <c r="B280" s="11" t="s">
        <v>874</v>
      </c>
      <c r="C280" s="11"/>
      <c r="D280" s="11" t="s">
        <v>288</v>
      </c>
      <c r="E280" s="11" t="s">
        <v>148</v>
      </c>
      <c r="F280" s="11"/>
      <c r="G280" s="11"/>
      <c r="H280" s="11"/>
      <c r="I280" s="11"/>
      <c r="J280" s="11"/>
      <c r="K280" s="11"/>
      <c r="L280" s="11" t="s">
        <v>290</v>
      </c>
      <c r="M280" s="11"/>
      <c r="N280" s="11"/>
      <c r="O280" s="11">
        <v>240</v>
      </c>
      <c r="P280" s="11">
        <v>0</v>
      </c>
      <c r="Q280" s="11" t="s">
        <v>291</v>
      </c>
    </row>
    <row r="281" spans="1:17" ht="15" customHeight="1" x14ac:dyDescent="0.2">
      <c r="A281" s="11" t="s">
        <v>875</v>
      </c>
      <c r="B281" s="11" t="s">
        <v>876</v>
      </c>
      <c r="C281" s="11"/>
      <c r="D281" s="11" t="s">
        <v>288</v>
      </c>
      <c r="E281" s="11" t="s">
        <v>148</v>
      </c>
      <c r="F281" s="11"/>
      <c r="G281" s="11"/>
      <c r="H281" s="11"/>
      <c r="I281" s="11"/>
      <c r="J281" s="11"/>
      <c r="K281" s="11"/>
      <c r="L281" s="11" t="s">
        <v>290</v>
      </c>
      <c r="M281" s="11"/>
      <c r="N281" s="11"/>
      <c r="O281" s="11">
        <v>241</v>
      </c>
      <c r="P281" s="11">
        <v>0</v>
      </c>
      <c r="Q281" s="11" t="s">
        <v>291</v>
      </c>
    </row>
    <row r="282" spans="1:17" ht="15" customHeight="1" x14ac:dyDescent="0.2">
      <c r="A282" s="11" t="s">
        <v>877</v>
      </c>
      <c r="B282" s="11" t="s">
        <v>878</v>
      </c>
      <c r="C282" s="11"/>
      <c r="D282" s="11" t="s">
        <v>288</v>
      </c>
      <c r="E282" s="11" t="s">
        <v>148</v>
      </c>
      <c r="F282" s="11"/>
      <c r="G282" s="11"/>
      <c r="H282" s="11"/>
      <c r="I282" s="11"/>
      <c r="J282" s="11"/>
      <c r="K282" s="11"/>
      <c r="L282" s="11" t="s">
        <v>290</v>
      </c>
      <c r="M282" s="11"/>
      <c r="N282" s="11"/>
      <c r="O282" s="11">
        <v>242</v>
      </c>
      <c r="P282" s="11">
        <v>0</v>
      </c>
      <c r="Q282" s="11" t="s">
        <v>291</v>
      </c>
    </row>
    <row r="283" spans="1:17" ht="15" customHeight="1" x14ac:dyDescent="0.2">
      <c r="A283" s="11" t="s">
        <v>879</v>
      </c>
      <c r="B283" s="11" t="s">
        <v>880</v>
      </c>
      <c r="C283" s="11"/>
      <c r="D283" s="11" t="s">
        <v>288</v>
      </c>
      <c r="E283" s="11" t="s">
        <v>148</v>
      </c>
      <c r="F283" s="11"/>
      <c r="G283" s="11"/>
      <c r="H283" s="11"/>
      <c r="I283" s="11"/>
      <c r="J283" s="11"/>
      <c r="K283" s="11"/>
      <c r="L283" s="11" t="s">
        <v>290</v>
      </c>
      <c r="M283" s="11"/>
      <c r="N283" s="11"/>
      <c r="O283" s="11">
        <v>243</v>
      </c>
      <c r="P283" s="11">
        <v>0</v>
      </c>
      <c r="Q283" s="11" t="s">
        <v>291</v>
      </c>
    </row>
    <row r="284" spans="1:17" ht="15" customHeight="1" x14ac:dyDescent="0.2">
      <c r="A284" s="11" t="s">
        <v>881</v>
      </c>
      <c r="B284" s="11" t="s">
        <v>882</v>
      </c>
      <c r="C284" s="11"/>
      <c r="D284" s="11" t="s">
        <v>288</v>
      </c>
      <c r="E284" s="11" t="s">
        <v>148</v>
      </c>
      <c r="F284" s="11"/>
      <c r="G284" s="11"/>
      <c r="H284" s="11"/>
      <c r="I284" s="11"/>
      <c r="J284" s="11"/>
      <c r="K284" s="11"/>
      <c r="L284" s="11" t="s">
        <v>290</v>
      </c>
      <c r="M284" s="11"/>
      <c r="N284" s="11"/>
      <c r="O284" s="11">
        <v>244</v>
      </c>
      <c r="P284" s="11">
        <v>0</v>
      </c>
      <c r="Q284" s="11" t="s">
        <v>291</v>
      </c>
    </row>
    <row r="285" spans="1:17" ht="15" customHeight="1" x14ac:dyDescent="0.2">
      <c r="A285" s="11" t="s">
        <v>883</v>
      </c>
      <c r="B285" s="11" t="s">
        <v>884</v>
      </c>
      <c r="C285" s="11"/>
      <c r="D285" s="11" t="s">
        <v>294</v>
      </c>
      <c r="E285" s="11" t="s">
        <v>148</v>
      </c>
      <c r="F285" s="11"/>
      <c r="G285" s="11"/>
      <c r="H285" s="11"/>
      <c r="I285" s="11"/>
      <c r="J285" s="11"/>
      <c r="K285" s="11"/>
      <c r="L285" s="11" t="s">
        <v>290</v>
      </c>
      <c r="M285" s="11"/>
      <c r="N285" s="11"/>
      <c r="O285" s="11">
        <v>245</v>
      </c>
      <c r="P285" s="11">
        <v>0</v>
      </c>
      <c r="Q285" s="11" t="s">
        <v>291</v>
      </c>
    </row>
    <row r="286" spans="1:17" ht="15" customHeight="1" x14ac:dyDescent="0.2">
      <c r="A286" s="11" t="s">
        <v>885</v>
      </c>
      <c r="B286" s="11" t="s">
        <v>886</v>
      </c>
      <c r="C286" s="11"/>
      <c r="D286" s="11" t="s">
        <v>294</v>
      </c>
      <c r="E286" s="11" t="s">
        <v>148</v>
      </c>
      <c r="F286" s="11"/>
      <c r="G286" s="11"/>
      <c r="H286" s="11"/>
      <c r="I286" s="11"/>
      <c r="J286" s="11"/>
      <c r="K286" s="11"/>
      <c r="L286" s="11" t="s">
        <v>290</v>
      </c>
      <c r="M286" s="11"/>
      <c r="N286" s="11"/>
      <c r="O286" s="11">
        <v>246</v>
      </c>
      <c r="P286" s="11">
        <v>0</v>
      </c>
      <c r="Q286" s="11" t="s">
        <v>291</v>
      </c>
    </row>
    <row r="287" spans="1:17" ht="15" customHeight="1" x14ac:dyDescent="0.2">
      <c r="A287" s="11" t="s">
        <v>887</v>
      </c>
      <c r="B287" s="11" t="s">
        <v>888</v>
      </c>
      <c r="C287" s="11"/>
      <c r="D287" s="11" t="s">
        <v>294</v>
      </c>
      <c r="E287" s="11" t="s">
        <v>148</v>
      </c>
      <c r="F287" s="11"/>
      <c r="G287" s="11"/>
      <c r="H287" s="11"/>
      <c r="I287" s="11"/>
      <c r="J287" s="11"/>
      <c r="K287" s="11"/>
      <c r="L287" s="11" t="s">
        <v>290</v>
      </c>
      <c r="M287" s="11"/>
      <c r="N287" s="11"/>
      <c r="O287" s="11">
        <v>247</v>
      </c>
      <c r="P287" s="11">
        <v>0</v>
      </c>
      <c r="Q287" s="11" t="s">
        <v>291</v>
      </c>
    </row>
    <row r="288" spans="1:17" ht="15" customHeight="1" x14ac:dyDescent="0.2">
      <c r="A288" s="11" t="s">
        <v>889</v>
      </c>
      <c r="B288" s="11" t="s">
        <v>890</v>
      </c>
      <c r="C288" s="11"/>
      <c r="D288" s="11" t="s">
        <v>288</v>
      </c>
      <c r="E288" s="11" t="s">
        <v>891</v>
      </c>
      <c r="F288" s="11"/>
      <c r="G288" s="11"/>
      <c r="H288" s="11"/>
      <c r="I288" s="11"/>
      <c r="J288" s="11"/>
      <c r="K288" s="11"/>
      <c r="L288" s="11" t="s">
        <v>290</v>
      </c>
      <c r="M288" s="11"/>
      <c r="N288" s="11"/>
      <c r="O288" s="11">
        <v>950</v>
      </c>
      <c r="P288" s="11">
        <v>0</v>
      </c>
      <c r="Q288" s="11" t="s">
        <v>291</v>
      </c>
    </row>
    <row r="289" spans="1:17" ht="15" customHeight="1" x14ac:dyDescent="0.2">
      <c r="A289" s="11" t="s">
        <v>892</v>
      </c>
      <c r="B289" s="11" t="s">
        <v>893</v>
      </c>
      <c r="C289" s="11"/>
      <c r="D289" s="11" t="s">
        <v>301</v>
      </c>
      <c r="E289" s="11" t="s">
        <v>891</v>
      </c>
      <c r="F289" s="11"/>
      <c r="G289" s="11"/>
      <c r="H289" s="11"/>
      <c r="I289" s="11"/>
      <c r="J289" s="11"/>
      <c r="K289" s="11"/>
      <c r="L289" s="11" t="s">
        <v>290</v>
      </c>
      <c r="M289" s="11"/>
      <c r="N289" s="11"/>
      <c r="O289" s="11">
        <v>951</v>
      </c>
      <c r="P289" s="11">
        <v>0</v>
      </c>
      <c r="Q289" s="11" t="s">
        <v>291</v>
      </c>
    </row>
    <row r="290" spans="1:17" ht="15" customHeight="1" x14ac:dyDescent="0.2">
      <c r="A290" s="11" t="s">
        <v>894</v>
      </c>
      <c r="B290" s="11" t="s">
        <v>895</v>
      </c>
      <c r="C290" s="11"/>
      <c r="D290" s="11" t="s">
        <v>288</v>
      </c>
      <c r="E290" s="11" t="s">
        <v>891</v>
      </c>
      <c r="F290" s="11"/>
      <c r="G290" s="11"/>
      <c r="H290" s="11"/>
      <c r="I290" s="11"/>
      <c r="J290" s="11"/>
      <c r="K290" s="11"/>
      <c r="L290" s="11" t="s">
        <v>290</v>
      </c>
      <c r="M290" s="11"/>
      <c r="N290" s="11"/>
      <c r="O290" s="11">
        <v>952</v>
      </c>
      <c r="P290" s="11">
        <v>0</v>
      </c>
      <c r="Q290" s="11" t="s">
        <v>291</v>
      </c>
    </row>
    <row r="291" spans="1:17" ht="15" customHeight="1" x14ac:dyDescent="0.2">
      <c r="A291" s="11" t="s">
        <v>896</v>
      </c>
      <c r="B291" s="11" t="s">
        <v>897</v>
      </c>
      <c r="C291" s="11"/>
      <c r="D291" s="11" t="s">
        <v>288</v>
      </c>
      <c r="E291" s="11" t="s">
        <v>891</v>
      </c>
      <c r="F291" s="11"/>
      <c r="G291" s="11"/>
      <c r="H291" s="11"/>
      <c r="I291" s="11"/>
      <c r="J291" s="11"/>
      <c r="K291" s="11"/>
      <c r="L291" s="11" t="s">
        <v>290</v>
      </c>
      <c r="M291" s="11"/>
      <c r="N291" s="11"/>
      <c r="O291" s="11">
        <v>953</v>
      </c>
      <c r="P291" s="11">
        <v>0</v>
      </c>
      <c r="Q291" s="11" t="s">
        <v>291</v>
      </c>
    </row>
    <row r="292" spans="1:17" ht="15" customHeight="1" x14ac:dyDescent="0.2">
      <c r="A292" s="11" t="s">
        <v>898</v>
      </c>
      <c r="B292" s="11" t="s">
        <v>899</v>
      </c>
      <c r="C292" s="11"/>
      <c r="D292" s="11" t="s">
        <v>294</v>
      </c>
      <c r="E292" s="11" t="s">
        <v>891</v>
      </c>
      <c r="F292" s="11"/>
      <c r="G292" s="11"/>
      <c r="H292" s="11"/>
      <c r="I292" s="11"/>
      <c r="J292" s="11"/>
      <c r="K292" s="11"/>
      <c r="L292" s="11" t="s">
        <v>290</v>
      </c>
      <c r="M292" s="11"/>
      <c r="N292" s="11"/>
      <c r="O292" s="11">
        <v>954</v>
      </c>
      <c r="P292" s="11">
        <v>0</v>
      </c>
      <c r="Q292" s="11" t="s">
        <v>291</v>
      </c>
    </row>
    <row r="293" spans="1:17" ht="15" customHeight="1" x14ac:dyDescent="0.2">
      <c r="A293" s="11" t="s">
        <v>900</v>
      </c>
      <c r="B293" s="11" t="s">
        <v>901</v>
      </c>
      <c r="C293" s="11"/>
      <c r="D293" s="11" t="s">
        <v>288</v>
      </c>
      <c r="E293" s="11" t="s">
        <v>169</v>
      </c>
      <c r="F293" s="11"/>
      <c r="G293" s="11"/>
      <c r="H293" s="11"/>
      <c r="I293" s="11"/>
      <c r="J293" s="11"/>
      <c r="K293" s="11"/>
      <c r="L293" s="11" t="s">
        <v>290</v>
      </c>
      <c r="M293" s="11"/>
      <c r="N293" s="11"/>
      <c r="O293" s="11">
        <v>550</v>
      </c>
      <c r="P293" s="11">
        <v>0</v>
      </c>
      <c r="Q293" s="11" t="s">
        <v>291</v>
      </c>
    </row>
    <row r="294" spans="1:17" ht="15" customHeight="1" x14ac:dyDescent="0.2">
      <c r="A294" s="11" t="s">
        <v>902</v>
      </c>
      <c r="B294" s="11" t="s">
        <v>903</v>
      </c>
      <c r="C294" s="11"/>
      <c r="D294" s="11" t="s">
        <v>288</v>
      </c>
      <c r="E294" s="11" t="s">
        <v>169</v>
      </c>
      <c r="F294" s="11"/>
      <c r="G294" s="11"/>
      <c r="H294" s="11"/>
      <c r="I294" s="11"/>
      <c r="J294" s="11"/>
      <c r="K294" s="11"/>
      <c r="L294" s="11" t="s">
        <v>290</v>
      </c>
      <c r="M294" s="11"/>
      <c r="N294" s="11"/>
      <c r="O294" s="11">
        <v>551</v>
      </c>
      <c r="P294" s="11">
        <v>0</v>
      </c>
      <c r="Q294" s="11" t="s">
        <v>291</v>
      </c>
    </row>
    <row r="295" spans="1:17" ht="15" customHeight="1" x14ac:dyDescent="0.2">
      <c r="A295" s="11" t="s">
        <v>904</v>
      </c>
      <c r="B295" s="11" t="s">
        <v>905</v>
      </c>
      <c r="C295" s="11"/>
      <c r="D295" s="11" t="s">
        <v>294</v>
      </c>
      <c r="E295" s="11" t="s">
        <v>169</v>
      </c>
      <c r="F295" s="11"/>
      <c r="G295" s="11"/>
      <c r="H295" s="11"/>
      <c r="I295" s="11"/>
      <c r="J295" s="11"/>
      <c r="K295" s="11"/>
      <c r="L295" s="11" t="s">
        <v>290</v>
      </c>
      <c r="M295" s="11"/>
      <c r="N295" s="11"/>
      <c r="O295" s="11">
        <v>552</v>
      </c>
      <c r="P295" s="11">
        <v>0</v>
      </c>
      <c r="Q295" s="11" t="s">
        <v>291</v>
      </c>
    </row>
    <row r="296" spans="1:17" ht="15" customHeight="1" x14ac:dyDescent="0.2">
      <c r="A296" s="11" t="s">
        <v>906</v>
      </c>
      <c r="B296" s="11" t="s">
        <v>907</v>
      </c>
      <c r="C296" s="11"/>
      <c r="D296" s="11" t="s">
        <v>288</v>
      </c>
      <c r="E296" s="11" t="s">
        <v>219</v>
      </c>
      <c r="F296" s="11"/>
      <c r="G296" s="11"/>
      <c r="H296" s="11"/>
      <c r="I296" s="11"/>
      <c r="J296" s="11"/>
      <c r="K296" s="11"/>
      <c r="L296" s="11" t="s">
        <v>290</v>
      </c>
      <c r="M296" s="11"/>
      <c r="N296" s="11"/>
      <c r="O296" s="11">
        <v>430</v>
      </c>
      <c r="P296" s="11">
        <v>0</v>
      </c>
      <c r="Q296" s="11" t="s">
        <v>291</v>
      </c>
    </row>
    <row r="297" spans="1:17" ht="15" customHeight="1" x14ac:dyDescent="0.2">
      <c r="A297" s="11" t="s">
        <v>908</v>
      </c>
      <c r="B297" s="11" t="s">
        <v>909</v>
      </c>
      <c r="C297" s="11"/>
      <c r="D297" s="11" t="s">
        <v>294</v>
      </c>
      <c r="E297" s="11" t="s">
        <v>219</v>
      </c>
      <c r="F297" s="11"/>
      <c r="G297" s="11"/>
      <c r="H297" s="11"/>
      <c r="I297" s="11"/>
      <c r="J297" s="11"/>
      <c r="K297" s="11"/>
      <c r="L297" s="11" t="s">
        <v>290</v>
      </c>
      <c r="M297" s="11"/>
      <c r="N297" s="11"/>
      <c r="O297" s="11">
        <v>431</v>
      </c>
      <c r="P297" s="11">
        <v>0</v>
      </c>
      <c r="Q297" s="11" t="s">
        <v>291</v>
      </c>
    </row>
    <row r="298" spans="1:17" ht="15" customHeight="1" x14ac:dyDescent="0.2">
      <c r="A298" s="11" t="s">
        <v>910</v>
      </c>
      <c r="B298" s="11" t="s">
        <v>911</v>
      </c>
      <c r="C298" s="11"/>
      <c r="D298" s="11" t="s">
        <v>288</v>
      </c>
      <c r="E298" s="11" t="s">
        <v>219</v>
      </c>
      <c r="F298" s="11"/>
      <c r="G298" s="11"/>
      <c r="H298" s="11"/>
      <c r="I298" s="11"/>
      <c r="J298" s="11"/>
      <c r="K298" s="11"/>
      <c r="L298" s="11" t="s">
        <v>290</v>
      </c>
      <c r="M298" s="11"/>
      <c r="N298" s="11"/>
      <c r="O298" s="11">
        <v>432</v>
      </c>
      <c r="P298" s="11">
        <v>0</v>
      </c>
      <c r="Q298" s="11" t="s">
        <v>291</v>
      </c>
    </row>
    <row r="299" spans="1:17" ht="15" customHeight="1" x14ac:dyDescent="0.2">
      <c r="A299" s="11" t="s">
        <v>912</v>
      </c>
      <c r="B299" s="11" t="s">
        <v>913</v>
      </c>
      <c r="C299" s="11"/>
      <c r="D299" s="11" t="s">
        <v>294</v>
      </c>
      <c r="E299" s="11" t="s">
        <v>219</v>
      </c>
      <c r="F299" s="11"/>
      <c r="G299" s="11"/>
      <c r="H299" s="11"/>
      <c r="I299" s="11"/>
      <c r="J299" s="11"/>
      <c r="K299" s="11"/>
      <c r="L299" s="11" t="s">
        <v>290</v>
      </c>
      <c r="M299" s="11"/>
      <c r="N299" s="11"/>
      <c r="O299" s="11">
        <v>433</v>
      </c>
      <c r="P299" s="11">
        <v>0</v>
      </c>
      <c r="Q299" s="11" t="s">
        <v>291</v>
      </c>
    </row>
    <row r="300" spans="1:17" ht="15" customHeight="1" x14ac:dyDescent="0.2">
      <c r="A300" s="11" t="s">
        <v>914</v>
      </c>
      <c r="B300" s="11" t="s">
        <v>915</v>
      </c>
      <c r="C300" s="11"/>
      <c r="D300" s="11" t="s">
        <v>341</v>
      </c>
      <c r="E300" s="11" t="s">
        <v>177</v>
      </c>
      <c r="F300" s="11"/>
      <c r="G300" s="11"/>
      <c r="H300" s="11"/>
      <c r="I300" s="11"/>
      <c r="J300" s="11"/>
      <c r="K300" s="11"/>
      <c r="L300" s="11" t="s">
        <v>290</v>
      </c>
      <c r="M300" s="11"/>
      <c r="N300" s="11"/>
      <c r="O300" s="11">
        <v>90</v>
      </c>
      <c r="P300" s="11">
        <v>0</v>
      </c>
      <c r="Q300" s="11" t="s">
        <v>350</v>
      </c>
    </row>
    <row r="301" spans="1:17" ht="15" customHeight="1" x14ac:dyDescent="0.2">
      <c r="A301" s="11" t="s">
        <v>916</v>
      </c>
      <c r="B301" s="11" t="s">
        <v>917</v>
      </c>
      <c r="C301" s="11"/>
      <c r="D301" s="11" t="s">
        <v>341</v>
      </c>
      <c r="E301" s="11" t="s">
        <v>177</v>
      </c>
      <c r="F301" s="11"/>
      <c r="G301" s="11"/>
      <c r="H301" s="11"/>
      <c r="I301" s="11"/>
      <c r="J301" s="11"/>
      <c r="K301" s="11"/>
      <c r="L301" s="11" t="s">
        <v>290</v>
      </c>
      <c r="M301" s="11"/>
      <c r="N301" s="11"/>
      <c r="O301" s="11">
        <v>91</v>
      </c>
      <c r="P301" s="11">
        <v>0</v>
      </c>
      <c r="Q301" s="11" t="s">
        <v>350</v>
      </c>
    </row>
    <row r="302" spans="1:17" ht="15" customHeight="1" x14ac:dyDescent="0.2">
      <c r="A302" s="11" t="s">
        <v>918</v>
      </c>
      <c r="B302" s="11" t="s">
        <v>919</v>
      </c>
      <c r="C302" s="11"/>
      <c r="D302" s="11" t="s">
        <v>346</v>
      </c>
      <c r="E302" s="11" t="s">
        <v>177</v>
      </c>
      <c r="F302" s="11"/>
      <c r="G302" s="11"/>
      <c r="H302" s="11"/>
      <c r="I302" s="11"/>
      <c r="J302" s="11"/>
      <c r="K302" s="11"/>
      <c r="L302" s="11" t="s">
        <v>290</v>
      </c>
      <c r="M302" s="11"/>
      <c r="N302" s="11"/>
      <c r="O302" s="11">
        <v>92</v>
      </c>
      <c r="P302" s="11">
        <v>0</v>
      </c>
      <c r="Q302" s="11" t="s">
        <v>291</v>
      </c>
    </row>
    <row r="303" spans="1:17" ht="15" customHeight="1" x14ac:dyDescent="0.2">
      <c r="A303" s="11" t="s">
        <v>920</v>
      </c>
      <c r="B303" s="11" t="s">
        <v>921</v>
      </c>
      <c r="C303" s="11"/>
      <c r="D303" s="11" t="s">
        <v>349</v>
      </c>
      <c r="E303" s="11" t="s">
        <v>177</v>
      </c>
      <c r="F303" s="11"/>
      <c r="G303" s="11"/>
      <c r="H303" s="11"/>
      <c r="I303" s="11"/>
      <c r="J303" s="11"/>
      <c r="K303" s="11"/>
      <c r="L303" s="11" t="s">
        <v>290</v>
      </c>
      <c r="M303" s="11"/>
      <c r="N303" s="11"/>
      <c r="O303" s="11">
        <v>100</v>
      </c>
      <c r="P303" s="11">
        <v>0</v>
      </c>
      <c r="Q303" s="11" t="s">
        <v>350</v>
      </c>
    </row>
    <row r="304" spans="1:17" ht="15" customHeight="1" x14ac:dyDescent="0.2">
      <c r="A304" s="11" t="s">
        <v>922</v>
      </c>
      <c r="B304" s="11" t="s">
        <v>923</v>
      </c>
      <c r="C304" s="11"/>
      <c r="D304" s="11" t="s">
        <v>288</v>
      </c>
      <c r="E304" s="11" t="s">
        <v>177</v>
      </c>
      <c r="F304" s="11"/>
      <c r="G304" s="11"/>
      <c r="H304" s="11"/>
      <c r="I304" s="11"/>
      <c r="J304" s="11"/>
      <c r="K304" s="11"/>
      <c r="L304" s="11" t="s">
        <v>290</v>
      </c>
      <c r="M304" s="11"/>
      <c r="N304" s="11"/>
      <c r="O304" s="11">
        <v>101</v>
      </c>
      <c r="P304" s="11">
        <v>0</v>
      </c>
      <c r="Q304" s="11" t="s">
        <v>291</v>
      </c>
    </row>
    <row r="305" spans="1:17" ht="15" customHeight="1" x14ac:dyDescent="0.2">
      <c r="A305" s="11" t="s">
        <v>924</v>
      </c>
      <c r="B305" s="11" t="s">
        <v>925</v>
      </c>
      <c r="C305" s="11"/>
      <c r="D305" s="11" t="s">
        <v>288</v>
      </c>
      <c r="E305" s="11" t="s">
        <v>177</v>
      </c>
      <c r="F305" s="11"/>
      <c r="G305" s="11"/>
      <c r="H305" s="11"/>
      <c r="I305" s="11"/>
      <c r="J305" s="11"/>
      <c r="K305" s="11"/>
      <c r="L305" s="11" t="s">
        <v>290</v>
      </c>
      <c r="M305" s="11"/>
      <c r="N305" s="11"/>
      <c r="O305" s="11">
        <v>102</v>
      </c>
      <c r="P305" s="11">
        <v>0</v>
      </c>
      <c r="Q305" s="11" t="s">
        <v>291</v>
      </c>
    </row>
    <row r="306" spans="1:17" ht="15" customHeight="1" x14ac:dyDescent="0.2">
      <c r="A306" s="11" t="s">
        <v>926</v>
      </c>
      <c r="B306" s="11" t="s">
        <v>927</v>
      </c>
      <c r="C306" s="11"/>
      <c r="D306" s="11" t="s">
        <v>288</v>
      </c>
      <c r="E306" s="11" t="s">
        <v>177</v>
      </c>
      <c r="F306" s="11"/>
      <c r="G306" s="11"/>
      <c r="H306" s="11"/>
      <c r="I306" s="11"/>
      <c r="J306" s="11"/>
      <c r="K306" s="11"/>
      <c r="L306" s="11" t="s">
        <v>290</v>
      </c>
      <c r="M306" s="11"/>
      <c r="N306" s="11"/>
      <c r="O306" s="11">
        <v>103</v>
      </c>
      <c r="P306" s="11">
        <v>0</v>
      </c>
      <c r="Q306" s="11" t="s">
        <v>291</v>
      </c>
    </row>
    <row r="307" spans="1:17" ht="15" customHeight="1" x14ac:dyDescent="0.2">
      <c r="A307" s="11" t="s">
        <v>928</v>
      </c>
      <c r="B307" s="11" t="s">
        <v>929</v>
      </c>
      <c r="C307" s="11"/>
      <c r="D307" s="11" t="s">
        <v>288</v>
      </c>
      <c r="E307" s="11" t="s">
        <v>177</v>
      </c>
      <c r="F307" s="11"/>
      <c r="G307" s="11"/>
      <c r="H307" s="11"/>
      <c r="I307" s="11"/>
      <c r="J307" s="11"/>
      <c r="K307" s="11"/>
      <c r="L307" s="11" t="s">
        <v>290</v>
      </c>
      <c r="M307" s="11"/>
      <c r="N307" s="11"/>
      <c r="O307" s="11">
        <v>104</v>
      </c>
      <c r="P307" s="11">
        <v>0</v>
      </c>
      <c r="Q307" s="11" t="s">
        <v>291</v>
      </c>
    </row>
    <row r="308" spans="1:17" ht="15" customHeight="1" x14ac:dyDescent="0.2">
      <c r="A308" s="11" t="s">
        <v>930</v>
      </c>
      <c r="B308" s="11" t="s">
        <v>931</v>
      </c>
      <c r="C308" s="11"/>
      <c r="D308" s="11" t="s">
        <v>288</v>
      </c>
      <c r="E308" s="11" t="s">
        <v>177</v>
      </c>
      <c r="F308" s="11"/>
      <c r="G308" s="11"/>
      <c r="H308" s="11"/>
      <c r="I308" s="11"/>
      <c r="J308" s="11"/>
      <c r="K308" s="11"/>
      <c r="L308" s="11" t="s">
        <v>290</v>
      </c>
      <c r="M308" s="11"/>
      <c r="N308" s="11"/>
      <c r="O308" s="11">
        <v>105</v>
      </c>
      <c r="P308" s="11">
        <v>0</v>
      </c>
      <c r="Q308" s="11" t="s">
        <v>291</v>
      </c>
    </row>
    <row r="309" spans="1:17" ht="15" customHeight="1" x14ac:dyDescent="0.2">
      <c r="A309" s="11" t="s">
        <v>932</v>
      </c>
      <c r="B309" s="11" t="s">
        <v>933</v>
      </c>
      <c r="C309" s="11"/>
      <c r="D309" s="11" t="s">
        <v>294</v>
      </c>
      <c r="E309" s="11" t="s">
        <v>177</v>
      </c>
      <c r="F309" s="11"/>
      <c r="G309" s="11"/>
      <c r="H309" s="11"/>
      <c r="I309" s="11"/>
      <c r="J309" s="11"/>
      <c r="K309" s="11"/>
      <c r="L309" s="11" t="s">
        <v>290</v>
      </c>
      <c r="M309" s="11"/>
      <c r="N309" s="11"/>
      <c r="O309" s="11">
        <v>110</v>
      </c>
      <c r="P309" s="11">
        <v>0</v>
      </c>
      <c r="Q309" s="11" t="s">
        <v>291</v>
      </c>
    </row>
    <row r="310" spans="1:17" ht="15" customHeight="1" x14ac:dyDescent="0.2">
      <c r="A310" s="11" t="s">
        <v>934</v>
      </c>
      <c r="B310" s="11" t="s">
        <v>935</v>
      </c>
      <c r="C310" s="11"/>
      <c r="D310" s="11" t="s">
        <v>294</v>
      </c>
      <c r="E310" s="11" t="s">
        <v>177</v>
      </c>
      <c r="F310" s="11"/>
      <c r="G310" s="11"/>
      <c r="H310" s="11"/>
      <c r="I310" s="11"/>
      <c r="J310" s="11"/>
      <c r="K310" s="11"/>
      <c r="L310" s="11" t="s">
        <v>290</v>
      </c>
      <c r="M310" s="11"/>
      <c r="N310" s="11"/>
      <c r="O310" s="11">
        <v>111</v>
      </c>
      <c r="P310" s="11">
        <v>0</v>
      </c>
      <c r="Q310" s="11" t="s">
        <v>291</v>
      </c>
    </row>
    <row r="311" spans="1:17" ht="15" customHeight="1" x14ac:dyDescent="0.2">
      <c r="A311" s="11" t="s">
        <v>936</v>
      </c>
      <c r="B311" s="11" t="s">
        <v>937</v>
      </c>
      <c r="C311" s="11"/>
      <c r="D311" s="11" t="s">
        <v>294</v>
      </c>
      <c r="E311" s="11" t="s">
        <v>177</v>
      </c>
      <c r="F311" s="11"/>
      <c r="G311" s="11"/>
      <c r="H311" s="11"/>
      <c r="I311" s="11"/>
      <c r="J311" s="11"/>
      <c r="K311" s="11"/>
      <c r="L311" s="11" t="s">
        <v>290</v>
      </c>
      <c r="M311" s="11"/>
      <c r="N311" s="11"/>
      <c r="O311" s="11">
        <v>112</v>
      </c>
      <c r="P311" s="11">
        <v>0</v>
      </c>
      <c r="Q311" s="11" t="s">
        <v>291</v>
      </c>
    </row>
    <row r="312" spans="1:17" ht="15" customHeight="1" x14ac:dyDescent="0.2">
      <c r="A312" s="11" t="s">
        <v>938</v>
      </c>
      <c r="B312" s="11" t="s">
        <v>939</v>
      </c>
      <c r="C312" s="11"/>
      <c r="D312" s="11" t="s">
        <v>294</v>
      </c>
      <c r="E312" s="11" t="s">
        <v>177</v>
      </c>
      <c r="F312" s="11"/>
      <c r="G312" s="11"/>
      <c r="H312" s="11"/>
      <c r="I312" s="11"/>
      <c r="J312" s="11"/>
      <c r="K312" s="11"/>
      <c r="L312" s="11" t="s">
        <v>290</v>
      </c>
      <c r="M312" s="11"/>
      <c r="N312" s="11"/>
      <c r="O312" s="11">
        <v>113</v>
      </c>
      <c r="P312" s="11">
        <v>0</v>
      </c>
      <c r="Q312" s="11" t="s">
        <v>291</v>
      </c>
    </row>
    <row r="313" spans="1:17" ht="15" customHeight="1" x14ac:dyDescent="0.2">
      <c r="A313" s="11" t="s">
        <v>940</v>
      </c>
      <c r="B313" s="11" t="s">
        <v>941</v>
      </c>
      <c r="C313" s="11"/>
      <c r="D313" s="11" t="s">
        <v>294</v>
      </c>
      <c r="E313" s="11" t="s">
        <v>177</v>
      </c>
      <c r="F313" s="11"/>
      <c r="G313" s="11"/>
      <c r="H313" s="11"/>
      <c r="I313" s="11"/>
      <c r="J313" s="11"/>
      <c r="K313" s="11"/>
      <c r="L313" s="11" t="s">
        <v>290</v>
      </c>
      <c r="M313" s="11"/>
      <c r="N313" s="11"/>
      <c r="O313" s="11">
        <v>114</v>
      </c>
      <c r="P313" s="11">
        <v>0</v>
      </c>
      <c r="Q313" s="11" t="s">
        <v>291</v>
      </c>
    </row>
    <row r="314" spans="1:17" ht="15" customHeight="1" x14ac:dyDescent="0.2">
      <c r="A314" s="11" t="s">
        <v>942</v>
      </c>
      <c r="B314" s="11" t="s">
        <v>943</v>
      </c>
      <c r="C314" s="11"/>
      <c r="D314" s="11" t="s">
        <v>294</v>
      </c>
      <c r="E314" s="11" t="s">
        <v>177</v>
      </c>
      <c r="F314" s="11"/>
      <c r="G314" s="11"/>
      <c r="H314" s="11"/>
      <c r="I314" s="11"/>
      <c r="J314" s="11"/>
      <c r="K314" s="11"/>
      <c r="L314" s="11" t="s">
        <v>290</v>
      </c>
      <c r="M314" s="11"/>
      <c r="N314" s="11"/>
      <c r="O314" s="11">
        <v>115</v>
      </c>
      <c r="P314" s="11">
        <v>0</v>
      </c>
      <c r="Q314" s="11" t="s">
        <v>291</v>
      </c>
    </row>
    <row r="315" spans="1:17" ht="15" customHeight="1" x14ac:dyDescent="0.2">
      <c r="A315" s="11" t="s">
        <v>944</v>
      </c>
      <c r="B315" s="11" t="s">
        <v>945</v>
      </c>
      <c r="C315" s="11"/>
      <c r="D315" s="11" t="s">
        <v>294</v>
      </c>
      <c r="E315" s="11" t="s">
        <v>177</v>
      </c>
      <c r="F315" s="11"/>
      <c r="G315" s="11"/>
      <c r="H315" s="11"/>
      <c r="I315" s="11"/>
      <c r="J315" s="11"/>
      <c r="K315" s="11"/>
      <c r="L315" s="11" t="s">
        <v>290</v>
      </c>
      <c r="M315" s="11"/>
      <c r="N315" s="11"/>
      <c r="O315" s="11">
        <v>116</v>
      </c>
      <c r="P315" s="11">
        <v>0</v>
      </c>
      <c r="Q315" s="11" t="s">
        <v>291</v>
      </c>
    </row>
    <row r="316" spans="1:17" ht="15" customHeight="1" x14ac:dyDescent="0.2">
      <c r="A316" s="11" t="s">
        <v>946</v>
      </c>
      <c r="B316" s="11" t="s">
        <v>947</v>
      </c>
      <c r="C316" s="11"/>
      <c r="D316" s="11" t="s">
        <v>294</v>
      </c>
      <c r="E316" s="11" t="s">
        <v>177</v>
      </c>
      <c r="F316" s="11"/>
      <c r="G316" s="11"/>
      <c r="H316" s="11"/>
      <c r="I316" s="11"/>
      <c r="J316" s="11"/>
      <c r="K316" s="11"/>
      <c r="L316" s="11" t="s">
        <v>290</v>
      </c>
      <c r="M316" s="11"/>
      <c r="N316" s="11"/>
      <c r="O316" s="11">
        <v>117</v>
      </c>
      <c r="P316" s="11">
        <v>0</v>
      </c>
      <c r="Q316" s="11" t="s">
        <v>291</v>
      </c>
    </row>
    <row r="317" spans="1:17" ht="15" customHeight="1" x14ac:dyDescent="0.2">
      <c r="A317" s="11" t="s">
        <v>948</v>
      </c>
      <c r="B317" s="11" t="s">
        <v>949</v>
      </c>
      <c r="C317" s="11"/>
      <c r="D317" s="11" t="s">
        <v>294</v>
      </c>
      <c r="E317" s="11" t="s">
        <v>177</v>
      </c>
      <c r="F317" s="11"/>
      <c r="G317" s="11"/>
      <c r="H317" s="11"/>
      <c r="I317" s="11"/>
      <c r="J317" s="11"/>
      <c r="K317" s="11"/>
      <c r="L317" s="11" t="s">
        <v>290</v>
      </c>
      <c r="M317" s="11"/>
      <c r="N317" s="11"/>
      <c r="O317" s="11">
        <v>118</v>
      </c>
      <c r="P317" s="11">
        <v>0</v>
      </c>
      <c r="Q317" s="11" t="s">
        <v>291</v>
      </c>
    </row>
    <row r="318" spans="1:17" ht="15" customHeight="1" x14ac:dyDescent="0.2">
      <c r="A318" s="11" t="s">
        <v>950</v>
      </c>
      <c r="B318" s="11" t="s">
        <v>951</v>
      </c>
      <c r="C318" s="11"/>
      <c r="D318" s="11" t="s">
        <v>288</v>
      </c>
      <c r="E318" s="11" t="s">
        <v>118</v>
      </c>
      <c r="F318" s="11"/>
      <c r="G318" s="11"/>
      <c r="H318" s="11"/>
      <c r="I318" s="11"/>
      <c r="J318" s="11"/>
      <c r="K318" s="11"/>
      <c r="L318" s="11" t="s">
        <v>290</v>
      </c>
      <c r="M318" s="11"/>
      <c r="N318" s="11"/>
      <c r="O318" s="11">
        <v>450</v>
      </c>
      <c r="P318" s="11">
        <v>0</v>
      </c>
      <c r="Q318" s="11" t="s">
        <v>291</v>
      </c>
    </row>
    <row r="319" spans="1:17" ht="15" customHeight="1" x14ac:dyDescent="0.2">
      <c r="A319" s="11" t="s">
        <v>952</v>
      </c>
      <c r="B319" s="11" t="s">
        <v>953</v>
      </c>
      <c r="C319" s="11"/>
      <c r="D319" s="11" t="s">
        <v>294</v>
      </c>
      <c r="E319" s="11" t="s">
        <v>118</v>
      </c>
      <c r="F319" s="11"/>
      <c r="G319" s="11"/>
      <c r="H319" s="11"/>
      <c r="I319" s="11"/>
      <c r="J319" s="11"/>
      <c r="K319" s="11"/>
      <c r="L319" s="11" t="s">
        <v>290</v>
      </c>
      <c r="M319" s="11"/>
      <c r="N319" s="11"/>
      <c r="O319" s="11">
        <v>451</v>
      </c>
      <c r="P319" s="11">
        <v>0</v>
      </c>
      <c r="Q319" s="11" t="s">
        <v>291</v>
      </c>
    </row>
    <row r="320" spans="1:17" ht="15" customHeight="1" x14ac:dyDescent="0.2">
      <c r="A320" s="11" t="s">
        <v>954</v>
      </c>
      <c r="B320" s="11" t="s">
        <v>955</v>
      </c>
      <c r="C320" s="11"/>
      <c r="D320" s="11" t="s">
        <v>294</v>
      </c>
      <c r="E320" s="11" t="s">
        <v>118</v>
      </c>
      <c r="F320" s="11"/>
      <c r="G320" s="11"/>
      <c r="H320" s="11"/>
      <c r="I320" s="11"/>
      <c r="J320" s="11"/>
      <c r="K320" s="11"/>
      <c r="L320" s="11" t="s">
        <v>290</v>
      </c>
      <c r="M320" s="11"/>
      <c r="N320" s="11"/>
      <c r="O320" s="11">
        <v>452</v>
      </c>
      <c r="P320" s="11">
        <v>0</v>
      </c>
      <c r="Q320" s="11" t="s">
        <v>291</v>
      </c>
    </row>
    <row r="321" spans="1:17" ht="15" customHeight="1" x14ac:dyDescent="0.2">
      <c r="A321" s="11" t="s">
        <v>956</v>
      </c>
      <c r="B321" s="11" t="s">
        <v>957</v>
      </c>
      <c r="C321" s="11"/>
      <c r="D321" s="11" t="s">
        <v>294</v>
      </c>
      <c r="E321" s="11" t="s">
        <v>118</v>
      </c>
      <c r="F321" s="11"/>
      <c r="G321" s="11"/>
      <c r="H321" s="11"/>
      <c r="I321" s="11"/>
      <c r="J321" s="11"/>
      <c r="K321" s="11"/>
      <c r="L321" s="11" t="s">
        <v>290</v>
      </c>
      <c r="M321" s="11"/>
      <c r="N321" s="11"/>
      <c r="O321" s="11">
        <v>453</v>
      </c>
      <c r="P321" s="11">
        <v>0</v>
      </c>
      <c r="Q321" s="11" t="s">
        <v>291</v>
      </c>
    </row>
    <row r="322" spans="1:17" ht="15" customHeight="1" x14ac:dyDescent="0.2">
      <c r="A322" s="11" t="s">
        <v>958</v>
      </c>
      <c r="B322" s="11" t="s">
        <v>959</v>
      </c>
      <c r="C322" s="11"/>
      <c r="D322" s="11" t="s">
        <v>288</v>
      </c>
      <c r="E322" s="11" t="s">
        <v>205</v>
      </c>
      <c r="F322" s="11"/>
      <c r="G322" s="11"/>
      <c r="H322" s="11"/>
      <c r="I322" s="11"/>
      <c r="J322" s="11"/>
      <c r="K322" s="11"/>
      <c r="L322" s="11" t="s">
        <v>290</v>
      </c>
      <c r="M322" s="11"/>
      <c r="N322" s="11"/>
      <c r="O322" s="11">
        <v>300</v>
      </c>
      <c r="P322" s="11">
        <v>0</v>
      </c>
      <c r="Q322" s="11" t="s">
        <v>291</v>
      </c>
    </row>
    <row r="323" spans="1:17" ht="15" customHeight="1" x14ac:dyDescent="0.2">
      <c r="A323" s="11" t="s">
        <v>960</v>
      </c>
      <c r="B323" s="11" t="s">
        <v>961</v>
      </c>
      <c r="C323" s="11"/>
      <c r="D323" s="11" t="s">
        <v>288</v>
      </c>
      <c r="E323" s="11" t="s">
        <v>205</v>
      </c>
      <c r="F323" s="11"/>
      <c r="G323" s="11"/>
      <c r="H323" s="11"/>
      <c r="I323" s="11"/>
      <c r="J323" s="11"/>
      <c r="K323" s="11"/>
      <c r="L323" s="11" t="s">
        <v>290</v>
      </c>
      <c r="M323" s="11"/>
      <c r="N323" s="11"/>
      <c r="O323" s="11">
        <v>301</v>
      </c>
      <c r="P323" s="11">
        <v>0</v>
      </c>
      <c r="Q323" s="11" t="s">
        <v>291</v>
      </c>
    </row>
    <row r="324" spans="1:17" ht="15" customHeight="1" x14ac:dyDescent="0.2">
      <c r="A324" s="11" t="s">
        <v>962</v>
      </c>
      <c r="B324" s="11" t="s">
        <v>963</v>
      </c>
      <c r="C324" s="11"/>
      <c r="D324" s="11" t="s">
        <v>288</v>
      </c>
      <c r="E324" s="11" t="s">
        <v>205</v>
      </c>
      <c r="F324" s="11"/>
      <c r="G324" s="11"/>
      <c r="H324" s="11"/>
      <c r="I324" s="11"/>
      <c r="J324" s="11"/>
      <c r="K324" s="11"/>
      <c r="L324" s="11" t="s">
        <v>290</v>
      </c>
      <c r="M324" s="11"/>
      <c r="N324" s="11"/>
      <c r="O324" s="11">
        <v>302</v>
      </c>
      <c r="P324" s="11">
        <v>0</v>
      </c>
      <c r="Q324" s="11" t="s">
        <v>291</v>
      </c>
    </row>
    <row r="325" spans="1:17" ht="15" customHeight="1" x14ac:dyDescent="0.2">
      <c r="A325" s="11" t="s">
        <v>964</v>
      </c>
      <c r="B325" s="11" t="s">
        <v>965</v>
      </c>
      <c r="C325" s="11"/>
      <c r="D325" s="11" t="s">
        <v>288</v>
      </c>
      <c r="E325" s="11" t="s">
        <v>205</v>
      </c>
      <c r="F325" s="11"/>
      <c r="G325" s="11"/>
      <c r="H325" s="11"/>
      <c r="I325" s="11"/>
      <c r="J325" s="11"/>
      <c r="K325" s="11"/>
      <c r="L325" s="11" t="s">
        <v>290</v>
      </c>
      <c r="M325" s="11"/>
      <c r="N325" s="11"/>
      <c r="O325" s="11">
        <v>303</v>
      </c>
      <c r="P325" s="11">
        <v>0</v>
      </c>
      <c r="Q325" s="11" t="s">
        <v>291</v>
      </c>
    </row>
    <row r="326" spans="1:17" ht="15" customHeight="1" x14ac:dyDescent="0.2">
      <c r="A326" s="11" t="s">
        <v>966</v>
      </c>
      <c r="B326" s="11" t="s">
        <v>967</v>
      </c>
      <c r="C326" s="11"/>
      <c r="D326" s="11" t="s">
        <v>346</v>
      </c>
      <c r="E326" s="11" t="s">
        <v>205</v>
      </c>
      <c r="F326" s="11"/>
      <c r="G326" s="11"/>
      <c r="H326" s="11"/>
      <c r="I326" s="11"/>
      <c r="J326" s="11"/>
      <c r="K326" s="11"/>
      <c r="L326" s="11" t="s">
        <v>290</v>
      </c>
      <c r="M326" s="11"/>
      <c r="N326" s="11"/>
      <c r="O326" s="11">
        <v>304</v>
      </c>
      <c r="P326" s="11">
        <v>0</v>
      </c>
      <c r="Q326" s="11" t="s">
        <v>291</v>
      </c>
    </row>
    <row r="327" spans="1:17" ht="15" customHeight="1" x14ac:dyDescent="0.2">
      <c r="A327" s="11" t="s">
        <v>968</v>
      </c>
      <c r="B327" s="11" t="s">
        <v>969</v>
      </c>
      <c r="C327" s="11"/>
      <c r="D327" s="11" t="s">
        <v>288</v>
      </c>
      <c r="E327" s="11" t="s">
        <v>205</v>
      </c>
      <c r="F327" s="11"/>
      <c r="G327" s="11"/>
      <c r="H327" s="11"/>
      <c r="I327" s="11"/>
      <c r="J327" s="11"/>
      <c r="K327" s="11"/>
      <c r="L327" s="11" t="s">
        <v>290</v>
      </c>
      <c r="M327" s="11"/>
      <c r="N327" s="11"/>
      <c r="O327" s="11">
        <v>305</v>
      </c>
      <c r="P327" s="11">
        <v>0</v>
      </c>
      <c r="Q327" s="11" t="s">
        <v>291</v>
      </c>
    </row>
    <row r="328" spans="1:17" ht="15" customHeight="1" x14ac:dyDescent="0.2">
      <c r="A328" s="11" t="s">
        <v>970</v>
      </c>
      <c r="B328" s="11" t="s">
        <v>971</v>
      </c>
      <c r="C328" s="11"/>
      <c r="D328" s="11" t="s">
        <v>288</v>
      </c>
      <c r="E328" s="11" t="s">
        <v>205</v>
      </c>
      <c r="F328" s="11"/>
      <c r="G328" s="11"/>
      <c r="H328" s="11"/>
      <c r="I328" s="11"/>
      <c r="J328" s="11"/>
      <c r="K328" s="11"/>
      <c r="L328" s="11" t="s">
        <v>290</v>
      </c>
      <c r="M328" s="11"/>
      <c r="N328" s="11"/>
      <c r="O328" s="11">
        <v>306</v>
      </c>
      <c r="P328" s="11">
        <v>0</v>
      </c>
      <c r="Q328" s="11" t="s">
        <v>291</v>
      </c>
    </row>
    <row r="329" spans="1:17" ht="15" customHeight="1" x14ac:dyDescent="0.2">
      <c r="A329" s="11" t="s">
        <v>972</v>
      </c>
      <c r="B329" s="11" t="s">
        <v>973</v>
      </c>
      <c r="C329" s="11"/>
      <c r="D329" s="11" t="s">
        <v>346</v>
      </c>
      <c r="E329" s="11" t="s">
        <v>205</v>
      </c>
      <c r="F329" s="11"/>
      <c r="G329" s="11"/>
      <c r="H329" s="11"/>
      <c r="I329" s="11"/>
      <c r="J329" s="11"/>
      <c r="K329" s="11"/>
      <c r="L329" s="11" t="s">
        <v>290</v>
      </c>
      <c r="M329" s="11"/>
      <c r="N329" s="11"/>
      <c r="O329" s="11">
        <v>307</v>
      </c>
      <c r="P329" s="11">
        <v>0</v>
      </c>
      <c r="Q329" s="11" t="s">
        <v>291</v>
      </c>
    </row>
    <row r="330" spans="1:17" ht="15" customHeight="1" x14ac:dyDescent="0.2">
      <c r="A330" s="11" t="s">
        <v>974</v>
      </c>
      <c r="B330" s="11" t="s">
        <v>975</v>
      </c>
      <c r="C330" s="11"/>
      <c r="D330" s="11" t="s">
        <v>359</v>
      </c>
      <c r="E330" s="11" t="s">
        <v>205</v>
      </c>
      <c r="F330" s="11"/>
      <c r="G330" s="11"/>
      <c r="H330" s="11"/>
      <c r="I330" s="11"/>
      <c r="J330" s="11"/>
      <c r="K330" s="11"/>
      <c r="L330" s="11" t="s">
        <v>290</v>
      </c>
      <c r="M330" s="11"/>
      <c r="N330" s="11"/>
      <c r="O330" s="11">
        <v>308</v>
      </c>
      <c r="P330" s="11">
        <v>0</v>
      </c>
      <c r="Q330" s="11" t="s">
        <v>350</v>
      </c>
    </row>
    <row r="331" spans="1:17" ht="15" customHeight="1" x14ac:dyDescent="0.2">
      <c r="A331" s="11" t="s">
        <v>976</v>
      </c>
      <c r="B331" s="11" t="s">
        <v>977</v>
      </c>
      <c r="C331" s="11"/>
      <c r="D331" s="11" t="s">
        <v>346</v>
      </c>
      <c r="E331" s="11" t="s">
        <v>205</v>
      </c>
      <c r="F331" s="11"/>
      <c r="G331" s="11"/>
      <c r="H331" s="11"/>
      <c r="I331" s="11"/>
      <c r="J331" s="11"/>
      <c r="K331" s="11"/>
      <c r="L331" s="11" t="s">
        <v>290</v>
      </c>
      <c r="M331" s="11"/>
      <c r="N331" s="11"/>
      <c r="O331" s="11">
        <v>309</v>
      </c>
      <c r="P331" s="11">
        <v>0</v>
      </c>
      <c r="Q331" s="11" t="s">
        <v>291</v>
      </c>
    </row>
    <row r="332" spans="1:17" ht="15" customHeight="1" x14ac:dyDescent="0.2">
      <c r="A332" s="11" t="s">
        <v>978</v>
      </c>
      <c r="B332" s="11" t="s">
        <v>979</v>
      </c>
      <c r="C332" s="11"/>
      <c r="D332" s="11" t="s">
        <v>346</v>
      </c>
      <c r="E332" s="11" t="s">
        <v>205</v>
      </c>
      <c r="F332" s="11"/>
      <c r="G332" s="11"/>
      <c r="H332" s="11"/>
      <c r="I332" s="11"/>
      <c r="J332" s="11"/>
      <c r="K332" s="11"/>
      <c r="L332" s="11" t="s">
        <v>290</v>
      </c>
      <c r="M332" s="11"/>
      <c r="N332" s="11"/>
      <c r="O332" s="11">
        <v>310</v>
      </c>
      <c r="P332" s="11">
        <v>0</v>
      </c>
      <c r="Q332" s="11" t="s">
        <v>291</v>
      </c>
    </row>
    <row r="333" spans="1:17" ht="15" customHeight="1" x14ac:dyDescent="0.2">
      <c r="A333" s="11" t="s">
        <v>980</v>
      </c>
      <c r="B333" s="11" t="s">
        <v>981</v>
      </c>
      <c r="C333" s="11"/>
      <c r="D333" s="11" t="s">
        <v>294</v>
      </c>
      <c r="E333" s="11" t="s">
        <v>205</v>
      </c>
      <c r="F333" s="11"/>
      <c r="G333" s="11"/>
      <c r="H333" s="11"/>
      <c r="I333" s="11"/>
      <c r="J333" s="11"/>
      <c r="K333" s="11"/>
      <c r="L333" s="11" t="s">
        <v>290</v>
      </c>
      <c r="M333" s="11"/>
      <c r="N333" s="11"/>
      <c r="O333" s="11">
        <v>311</v>
      </c>
      <c r="P333" s="11">
        <v>0</v>
      </c>
      <c r="Q333" s="11" t="s">
        <v>291</v>
      </c>
    </row>
    <row r="334" spans="1:17" ht="15" customHeight="1" x14ac:dyDescent="0.2">
      <c r="A334" s="11" t="s">
        <v>982</v>
      </c>
      <c r="B334" s="11" t="s">
        <v>983</v>
      </c>
      <c r="C334" s="11"/>
      <c r="D334" s="11" t="s">
        <v>294</v>
      </c>
      <c r="E334" s="11" t="s">
        <v>205</v>
      </c>
      <c r="F334" s="11"/>
      <c r="G334" s="11"/>
      <c r="H334" s="11"/>
      <c r="I334" s="11"/>
      <c r="J334" s="11"/>
      <c r="K334" s="11"/>
      <c r="L334" s="11" t="s">
        <v>290</v>
      </c>
      <c r="M334" s="11"/>
      <c r="N334" s="11"/>
      <c r="O334" s="11">
        <v>312</v>
      </c>
      <c r="P334" s="11">
        <v>0</v>
      </c>
      <c r="Q334" s="11" t="s">
        <v>291</v>
      </c>
    </row>
    <row r="335" spans="1:17" ht="15" customHeight="1" x14ac:dyDescent="0.2">
      <c r="A335" s="11" t="s">
        <v>984</v>
      </c>
      <c r="B335" s="11" t="s">
        <v>985</v>
      </c>
      <c r="C335" s="11"/>
      <c r="D335" s="11" t="s">
        <v>294</v>
      </c>
      <c r="E335" s="11" t="s">
        <v>205</v>
      </c>
      <c r="F335" s="11"/>
      <c r="G335" s="11"/>
      <c r="H335" s="11"/>
      <c r="I335" s="11"/>
      <c r="J335" s="11"/>
      <c r="K335" s="11"/>
      <c r="L335" s="11" t="s">
        <v>290</v>
      </c>
      <c r="M335" s="11"/>
      <c r="N335" s="11"/>
      <c r="O335" s="11">
        <v>313</v>
      </c>
      <c r="P335" s="11">
        <v>0</v>
      </c>
      <c r="Q335" s="11" t="s">
        <v>291</v>
      </c>
    </row>
    <row r="336" spans="1:17" ht="15" customHeight="1" x14ac:dyDescent="0.2">
      <c r="A336" s="11" t="s">
        <v>986</v>
      </c>
      <c r="B336" s="11" t="s">
        <v>987</v>
      </c>
      <c r="C336" s="11"/>
      <c r="D336" s="11" t="s">
        <v>288</v>
      </c>
      <c r="E336" s="11" t="s">
        <v>988</v>
      </c>
      <c r="F336" s="11"/>
      <c r="G336" s="11"/>
      <c r="H336" s="11"/>
      <c r="I336" s="11"/>
      <c r="J336" s="11"/>
      <c r="K336" s="11"/>
      <c r="L336" s="11" t="s">
        <v>290</v>
      </c>
      <c r="M336" s="11"/>
      <c r="N336" s="11"/>
      <c r="O336" s="11">
        <v>200</v>
      </c>
      <c r="P336" s="11">
        <v>0</v>
      </c>
      <c r="Q336" s="11" t="s">
        <v>291</v>
      </c>
    </row>
    <row r="337" spans="1:17" ht="15" customHeight="1" x14ac:dyDescent="0.2">
      <c r="A337" s="11" t="s">
        <v>989</v>
      </c>
      <c r="B337" s="11" t="s">
        <v>990</v>
      </c>
      <c r="C337" s="11"/>
      <c r="D337" s="11" t="s">
        <v>288</v>
      </c>
      <c r="E337" s="11" t="s">
        <v>988</v>
      </c>
      <c r="F337" s="11"/>
      <c r="G337" s="11"/>
      <c r="H337" s="11"/>
      <c r="I337" s="11"/>
      <c r="J337" s="11"/>
      <c r="K337" s="11"/>
      <c r="L337" s="11" t="s">
        <v>290</v>
      </c>
      <c r="M337" s="11"/>
      <c r="N337" s="11"/>
      <c r="O337" s="11">
        <v>201</v>
      </c>
      <c r="P337" s="11">
        <v>0</v>
      </c>
      <c r="Q337" s="11" t="s">
        <v>291</v>
      </c>
    </row>
    <row r="338" spans="1:17" ht="15" customHeight="1" x14ac:dyDescent="0.2">
      <c r="A338" s="11" t="s">
        <v>991</v>
      </c>
      <c r="B338" s="11" t="s">
        <v>992</v>
      </c>
      <c r="C338" s="11"/>
      <c r="D338" s="11" t="s">
        <v>288</v>
      </c>
      <c r="E338" s="11" t="s">
        <v>988</v>
      </c>
      <c r="F338" s="11"/>
      <c r="G338" s="11"/>
      <c r="H338" s="11"/>
      <c r="I338" s="11"/>
      <c r="J338" s="11"/>
      <c r="K338" s="11"/>
      <c r="L338" s="11" t="s">
        <v>290</v>
      </c>
      <c r="M338" s="11"/>
      <c r="N338" s="11"/>
      <c r="O338" s="11">
        <v>202</v>
      </c>
      <c r="P338" s="11">
        <v>0</v>
      </c>
      <c r="Q338" s="11" t="s">
        <v>291</v>
      </c>
    </row>
    <row r="339" spans="1:17" ht="15" customHeight="1" x14ac:dyDescent="0.2">
      <c r="A339" s="11" t="s">
        <v>993</v>
      </c>
      <c r="B339" s="11" t="s">
        <v>994</v>
      </c>
      <c r="C339" s="11"/>
      <c r="D339" s="11" t="s">
        <v>288</v>
      </c>
      <c r="E339" s="11" t="s">
        <v>988</v>
      </c>
      <c r="F339" s="11"/>
      <c r="G339" s="11"/>
      <c r="H339" s="11"/>
      <c r="I339" s="11"/>
      <c r="J339" s="11"/>
      <c r="K339" s="11"/>
      <c r="L339" s="11" t="s">
        <v>290</v>
      </c>
      <c r="M339" s="11"/>
      <c r="N339" s="11"/>
      <c r="O339" s="11">
        <v>203</v>
      </c>
      <c r="P339" s="11">
        <v>0</v>
      </c>
      <c r="Q339" s="11" t="s">
        <v>291</v>
      </c>
    </row>
    <row r="340" spans="1:17" ht="15" customHeight="1" x14ac:dyDescent="0.2">
      <c r="A340" s="11" t="s">
        <v>995</v>
      </c>
      <c r="B340" s="11" t="s">
        <v>996</v>
      </c>
      <c r="C340" s="11"/>
      <c r="D340" s="11" t="s">
        <v>288</v>
      </c>
      <c r="E340" s="11" t="s">
        <v>988</v>
      </c>
      <c r="F340" s="11"/>
      <c r="G340" s="11"/>
      <c r="H340" s="11"/>
      <c r="I340" s="11"/>
      <c r="J340" s="11"/>
      <c r="K340" s="11"/>
      <c r="L340" s="11" t="s">
        <v>290</v>
      </c>
      <c r="M340" s="11"/>
      <c r="N340" s="11"/>
      <c r="O340" s="11">
        <v>204</v>
      </c>
      <c r="P340" s="11">
        <v>0</v>
      </c>
      <c r="Q340" s="11" t="s">
        <v>291</v>
      </c>
    </row>
    <row r="341" spans="1:17" ht="15" customHeight="1" x14ac:dyDescent="0.2">
      <c r="A341" s="11" t="s">
        <v>997</v>
      </c>
      <c r="B341" s="11" t="s">
        <v>998</v>
      </c>
      <c r="C341" s="11"/>
      <c r="D341" s="11" t="s">
        <v>288</v>
      </c>
      <c r="E341" s="11" t="s">
        <v>988</v>
      </c>
      <c r="F341" s="11"/>
      <c r="G341" s="11"/>
      <c r="H341" s="11"/>
      <c r="I341" s="11"/>
      <c r="J341" s="11"/>
      <c r="K341" s="11"/>
      <c r="L341" s="11" t="s">
        <v>290</v>
      </c>
      <c r="M341" s="11"/>
      <c r="N341" s="11"/>
      <c r="O341" s="11">
        <v>205</v>
      </c>
      <c r="P341" s="11">
        <v>0</v>
      </c>
      <c r="Q341" s="11" t="s">
        <v>291</v>
      </c>
    </row>
    <row r="342" spans="1:17" ht="15" customHeight="1" x14ac:dyDescent="0.2">
      <c r="A342" s="11" t="s">
        <v>999</v>
      </c>
      <c r="B342" s="11" t="s">
        <v>1000</v>
      </c>
      <c r="C342" s="11"/>
      <c r="D342" s="11" t="s">
        <v>288</v>
      </c>
      <c r="E342" s="11" t="s">
        <v>988</v>
      </c>
      <c r="F342" s="11"/>
      <c r="G342" s="11"/>
      <c r="H342" s="11"/>
      <c r="I342" s="11"/>
      <c r="J342" s="11"/>
      <c r="K342" s="11"/>
      <c r="L342" s="11" t="s">
        <v>290</v>
      </c>
      <c r="M342" s="11"/>
      <c r="N342" s="11"/>
      <c r="O342" s="11">
        <v>206</v>
      </c>
      <c r="P342" s="11">
        <v>0</v>
      </c>
      <c r="Q342" s="11" t="s">
        <v>291</v>
      </c>
    </row>
    <row r="343" spans="1:17" ht="15" customHeight="1" x14ac:dyDescent="0.2">
      <c r="A343" s="11" t="s">
        <v>1001</v>
      </c>
      <c r="B343" s="11" t="s">
        <v>1002</v>
      </c>
      <c r="C343" s="11"/>
      <c r="D343" s="11" t="s">
        <v>288</v>
      </c>
      <c r="E343" s="11" t="s">
        <v>988</v>
      </c>
      <c r="F343" s="11"/>
      <c r="G343" s="11"/>
      <c r="H343" s="11"/>
      <c r="I343" s="11"/>
      <c r="J343" s="11"/>
      <c r="K343" s="11"/>
      <c r="L343" s="11" t="s">
        <v>290</v>
      </c>
      <c r="M343" s="11"/>
      <c r="N343" s="11"/>
      <c r="O343" s="11">
        <v>207</v>
      </c>
      <c r="P343" s="11">
        <v>0</v>
      </c>
      <c r="Q343" s="11" t="s">
        <v>291</v>
      </c>
    </row>
    <row r="344" spans="1:17" ht="15" customHeight="1" x14ac:dyDescent="0.2">
      <c r="A344" s="11" t="s">
        <v>1003</v>
      </c>
      <c r="B344" s="11" t="s">
        <v>1004</v>
      </c>
      <c r="C344" s="11"/>
      <c r="D344" s="11" t="s">
        <v>294</v>
      </c>
      <c r="E344" s="11" t="s">
        <v>988</v>
      </c>
      <c r="F344" s="11"/>
      <c r="G344" s="11"/>
      <c r="H344" s="11"/>
      <c r="I344" s="11"/>
      <c r="J344" s="11"/>
      <c r="K344" s="11"/>
      <c r="L344" s="11" t="s">
        <v>290</v>
      </c>
      <c r="M344" s="11"/>
      <c r="N344" s="11"/>
      <c r="O344" s="11">
        <v>208</v>
      </c>
      <c r="P344" s="11">
        <v>0</v>
      </c>
      <c r="Q344" s="11" t="s">
        <v>291</v>
      </c>
    </row>
    <row r="345" spans="1:17" ht="15" customHeight="1" x14ac:dyDescent="0.2">
      <c r="A345" s="11" t="s">
        <v>1005</v>
      </c>
      <c r="B345" s="11" t="s">
        <v>1006</v>
      </c>
      <c r="C345" s="11"/>
      <c r="D345" s="11" t="s">
        <v>294</v>
      </c>
      <c r="E345" s="11" t="s">
        <v>988</v>
      </c>
      <c r="F345" s="11"/>
      <c r="G345" s="11"/>
      <c r="H345" s="11"/>
      <c r="I345" s="11"/>
      <c r="J345" s="11"/>
      <c r="K345" s="11"/>
      <c r="L345" s="11" t="s">
        <v>290</v>
      </c>
      <c r="M345" s="11"/>
      <c r="N345" s="11"/>
      <c r="O345" s="11">
        <v>209</v>
      </c>
      <c r="P345" s="11">
        <v>0</v>
      </c>
      <c r="Q345" s="11" t="s">
        <v>291</v>
      </c>
    </row>
    <row r="346" spans="1:17" ht="15" customHeight="1" x14ac:dyDescent="0.2">
      <c r="A346" s="11" t="s">
        <v>1007</v>
      </c>
      <c r="B346" s="11" t="s">
        <v>537</v>
      </c>
      <c r="C346" s="11"/>
      <c r="D346" s="11" t="s">
        <v>288</v>
      </c>
      <c r="E346" s="11" t="s">
        <v>988</v>
      </c>
      <c r="F346" s="11"/>
      <c r="G346" s="11"/>
      <c r="H346" s="11"/>
      <c r="I346" s="11"/>
      <c r="J346" s="11"/>
      <c r="K346" s="11"/>
      <c r="L346" s="11" t="s">
        <v>290</v>
      </c>
      <c r="M346" s="11"/>
      <c r="N346" s="11"/>
      <c r="O346" s="11">
        <v>210</v>
      </c>
      <c r="P346" s="11">
        <v>0</v>
      </c>
      <c r="Q346" s="11" t="s">
        <v>291</v>
      </c>
    </row>
    <row r="347" spans="1:17" ht="15" customHeight="1" x14ac:dyDescent="0.2">
      <c r="A347" s="11" t="s">
        <v>1008</v>
      </c>
      <c r="B347" s="11" t="s">
        <v>1009</v>
      </c>
      <c r="C347" s="11"/>
      <c r="D347" s="11" t="s">
        <v>294</v>
      </c>
      <c r="E347" s="11" t="s">
        <v>1010</v>
      </c>
      <c r="F347" s="11"/>
      <c r="G347" s="11"/>
      <c r="H347" s="11"/>
      <c r="I347" s="11"/>
      <c r="J347" s="11"/>
      <c r="K347" s="11"/>
      <c r="L347" s="11" t="s">
        <v>290</v>
      </c>
      <c r="M347" s="11"/>
      <c r="N347" s="11"/>
      <c r="O347" s="11">
        <v>860</v>
      </c>
      <c r="P347" s="11">
        <v>0</v>
      </c>
      <c r="Q347" s="11" t="s">
        <v>291</v>
      </c>
    </row>
    <row r="348" spans="1:17" ht="15" customHeight="1" x14ac:dyDescent="0.2">
      <c r="A348" s="11" t="s">
        <v>1011</v>
      </c>
      <c r="B348" s="11" t="s">
        <v>1012</v>
      </c>
      <c r="C348" s="11"/>
      <c r="D348" s="11" t="s">
        <v>294</v>
      </c>
      <c r="E348" s="11" t="s">
        <v>1010</v>
      </c>
      <c r="F348" s="11"/>
      <c r="G348" s="11"/>
      <c r="H348" s="11"/>
      <c r="I348" s="11"/>
      <c r="J348" s="11"/>
      <c r="K348" s="11"/>
      <c r="L348" s="11" t="s">
        <v>290</v>
      </c>
      <c r="M348" s="11"/>
      <c r="N348" s="11"/>
      <c r="O348" s="11">
        <v>861</v>
      </c>
      <c r="P348" s="11">
        <v>0</v>
      </c>
      <c r="Q348" s="11" t="s">
        <v>291</v>
      </c>
    </row>
    <row r="349" spans="1:17" ht="15" customHeight="1" x14ac:dyDescent="0.2">
      <c r="A349" s="11" t="s">
        <v>1013</v>
      </c>
      <c r="B349" s="11" t="s">
        <v>1014</v>
      </c>
      <c r="C349" s="11"/>
      <c r="D349" s="11" t="s">
        <v>288</v>
      </c>
      <c r="E349" s="11" t="s">
        <v>1010</v>
      </c>
      <c r="F349" s="11"/>
      <c r="G349" s="11"/>
      <c r="H349" s="11"/>
      <c r="I349" s="11"/>
      <c r="J349" s="11"/>
      <c r="K349" s="11"/>
      <c r="L349" s="11" t="s">
        <v>290</v>
      </c>
      <c r="M349" s="11"/>
      <c r="N349" s="11"/>
      <c r="O349" s="11">
        <v>862</v>
      </c>
      <c r="P349" s="11">
        <v>0</v>
      </c>
      <c r="Q349" s="11" t="s">
        <v>291</v>
      </c>
    </row>
    <row r="350" spans="1:17" ht="15" customHeight="1" x14ac:dyDescent="0.2">
      <c r="A350" s="11" t="s">
        <v>1015</v>
      </c>
      <c r="B350" s="11" t="s">
        <v>1016</v>
      </c>
      <c r="C350" s="11"/>
      <c r="D350" s="11" t="s">
        <v>288</v>
      </c>
      <c r="E350" s="11" t="s">
        <v>1010</v>
      </c>
      <c r="F350" s="11"/>
      <c r="G350" s="11"/>
      <c r="H350" s="11"/>
      <c r="I350" s="11"/>
      <c r="J350" s="11"/>
      <c r="K350" s="11"/>
      <c r="L350" s="11" t="s">
        <v>290</v>
      </c>
      <c r="M350" s="11"/>
      <c r="N350" s="11"/>
      <c r="O350" s="11">
        <v>863</v>
      </c>
      <c r="P350" s="11">
        <v>0</v>
      </c>
      <c r="Q350" s="11" t="s">
        <v>291</v>
      </c>
    </row>
    <row r="351" spans="1:17" ht="15" customHeight="1" x14ac:dyDescent="0.2">
      <c r="A351" s="11" t="s">
        <v>1017</v>
      </c>
      <c r="B351" s="11" t="s">
        <v>1018</v>
      </c>
      <c r="C351" s="11"/>
      <c r="D351" s="11" t="s">
        <v>288</v>
      </c>
      <c r="E351" s="11" t="s">
        <v>1010</v>
      </c>
      <c r="F351" s="11"/>
      <c r="G351" s="11"/>
      <c r="H351" s="11"/>
      <c r="I351" s="11"/>
      <c r="J351" s="11"/>
      <c r="K351" s="11"/>
      <c r="L351" s="11" t="s">
        <v>290</v>
      </c>
      <c r="M351" s="11"/>
      <c r="N351" s="11"/>
      <c r="O351" s="11">
        <v>864</v>
      </c>
      <c r="P351" s="11">
        <v>0</v>
      </c>
      <c r="Q351" s="11" t="s">
        <v>291</v>
      </c>
    </row>
    <row r="352" spans="1:17" ht="15" customHeight="1" x14ac:dyDescent="0.2">
      <c r="A352" s="11" t="s">
        <v>1019</v>
      </c>
      <c r="B352" s="11" t="s">
        <v>1020</v>
      </c>
      <c r="C352" s="11"/>
      <c r="D352" s="11" t="s">
        <v>294</v>
      </c>
      <c r="E352" s="11" t="s">
        <v>1010</v>
      </c>
      <c r="F352" s="11"/>
      <c r="G352" s="11"/>
      <c r="H352" s="11"/>
      <c r="I352" s="11"/>
      <c r="J352" s="11"/>
      <c r="K352" s="11"/>
      <c r="L352" s="11" t="s">
        <v>290</v>
      </c>
      <c r="M352" s="11"/>
      <c r="N352" s="11"/>
      <c r="O352" s="11">
        <v>865</v>
      </c>
      <c r="P352" s="11">
        <v>0</v>
      </c>
      <c r="Q352" s="11" t="s">
        <v>291</v>
      </c>
    </row>
  </sheetData>
  <autoFilter ref="A1:Q352" xr:uid="{00000000-0009-0000-0000-000002000000}"/>
  <conditionalFormatting sqref="Q2:Q352">
    <cfRule type="expression" dxfId="1" priority="2">
      <formula>LEN($Q2)&gt;0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8" customWidth="1"/>
    <col min="3" max="3" width="22" customWidth="1"/>
    <col min="4" max="4" width="18" customWidth="1"/>
    <col min="5" max="5" width="38" customWidth="1"/>
    <col min="6" max="6" width="10" customWidth="1"/>
    <col min="7" max="7" width="12" customWidth="1"/>
    <col min="8" max="10" width="10" customWidth="1"/>
    <col min="11" max="11" width="22" customWidth="1"/>
    <col min="12" max="12" width="18" customWidth="1"/>
    <col min="13" max="14" width="10" customWidth="1"/>
    <col min="15" max="15" width="12" customWidth="1"/>
    <col min="16" max="16" width="16" customWidth="1"/>
    <col min="17" max="17" width="30" customWidth="1"/>
    <col min="18" max="18" width="16" customWidth="1"/>
    <col min="19" max="19" width="10" customWidth="1"/>
    <col min="20" max="20" width="50" customWidth="1"/>
  </cols>
  <sheetData>
    <row r="1" spans="1:20" ht="21.75" customHeight="1" x14ac:dyDescent="0.2">
      <c r="A1" s="10" t="s">
        <v>81</v>
      </c>
      <c r="B1" s="10" t="s">
        <v>1021</v>
      </c>
      <c r="C1" s="10" t="s">
        <v>1022</v>
      </c>
      <c r="D1" s="10" t="s">
        <v>276</v>
      </c>
      <c r="E1" s="10" t="s">
        <v>82</v>
      </c>
      <c r="F1" s="10" t="s">
        <v>1023</v>
      </c>
      <c r="G1" s="10" t="s">
        <v>1024</v>
      </c>
      <c r="H1" s="10" t="s">
        <v>1025</v>
      </c>
      <c r="I1" s="10" t="s">
        <v>1026</v>
      </c>
      <c r="J1" s="10" t="s">
        <v>1027</v>
      </c>
      <c r="K1" s="10" t="s">
        <v>1028</v>
      </c>
      <c r="L1" s="10" t="s">
        <v>1029</v>
      </c>
      <c r="M1" s="10" t="s">
        <v>1030</v>
      </c>
      <c r="N1" s="10" t="s">
        <v>1031</v>
      </c>
      <c r="O1" s="10" t="s">
        <v>1032</v>
      </c>
      <c r="P1" s="10" t="s">
        <v>1033</v>
      </c>
      <c r="Q1" s="10" t="s">
        <v>1034</v>
      </c>
      <c r="R1" s="10" t="s">
        <v>279</v>
      </c>
      <c r="S1" s="10" t="s">
        <v>93</v>
      </c>
      <c r="T1" s="10" t="s">
        <v>285</v>
      </c>
    </row>
    <row r="2" spans="1:20" ht="15" customHeight="1" x14ac:dyDescent="0.2">
      <c r="A2" s="11" t="s">
        <v>1035</v>
      </c>
      <c r="B2" s="11" t="s">
        <v>342</v>
      </c>
      <c r="C2" s="11" t="s">
        <v>343</v>
      </c>
      <c r="D2" s="11" t="s">
        <v>111</v>
      </c>
      <c r="E2" s="11" t="s">
        <v>1036</v>
      </c>
      <c r="F2" s="11" t="s">
        <v>1037</v>
      </c>
      <c r="G2" s="11" t="s">
        <v>1038</v>
      </c>
      <c r="H2" s="11" t="s">
        <v>290</v>
      </c>
      <c r="I2" s="11"/>
      <c r="J2" s="11">
        <v>107</v>
      </c>
      <c r="K2" s="11"/>
      <c r="L2" s="11"/>
      <c r="M2" s="11">
        <v>30</v>
      </c>
      <c r="N2" s="11"/>
      <c r="O2" s="11" t="s">
        <v>290</v>
      </c>
      <c r="P2" s="11" t="s">
        <v>290</v>
      </c>
      <c r="Q2" s="11"/>
      <c r="R2" s="11"/>
      <c r="S2" s="11">
        <v>0</v>
      </c>
      <c r="T2" s="11" t="s">
        <v>1039</v>
      </c>
    </row>
    <row r="3" spans="1:20" ht="15" customHeight="1" x14ac:dyDescent="0.2">
      <c r="A3" s="11" t="s">
        <v>1040</v>
      </c>
      <c r="B3" s="11" t="s">
        <v>342</v>
      </c>
      <c r="C3" s="11" t="s">
        <v>343</v>
      </c>
      <c r="D3" s="11" t="s">
        <v>111</v>
      </c>
      <c r="E3" s="11" t="s">
        <v>1041</v>
      </c>
      <c r="F3" s="11" t="s">
        <v>1037</v>
      </c>
      <c r="G3" s="11" t="s">
        <v>1038</v>
      </c>
      <c r="H3" s="11" t="s">
        <v>290</v>
      </c>
      <c r="I3" s="11"/>
      <c r="J3" s="11">
        <v>107</v>
      </c>
      <c r="K3" s="11" t="s">
        <v>1042</v>
      </c>
      <c r="L3" s="11" t="s">
        <v>1043</v>
      </c>
      <c r="M3" s="11">
        <v>35</v>
      </c>
      <c r="N3" s="11"/>
      <c r="O3" s="11" t="s">
        <v>290</v>
      </c>
      <c r="P3" s="11" t="s">
        <v>290</v>
      </c>
      <c r="Q3" s="11"/>
      <c r="R3" s="11"/>
      <c r="S3" s="11">
        <v>0</v>
      </c>
      <c r="T3" s="11" t="s">
        <v>1044</v>
      </c>
    </row>
    <row r="4" spans="1:20" ht="15" customHeight="1" x14ac:dyDescent="0.2">
      <c r="A4" s="11" t="s">
        <v>1045</v>
      </c>
      <c r="B4" s="11" t="s">
        <v>342</v>
      </c>
      <c r="C4" s="11" t="s">
        <v>343</v>
      </c>
      <c r="D4" s="11" t="s">
        <v>111</v>
      </c>
      <c r="E4" s="11" t="s">
        <v>1046</v>
      </c>
      <c r="F4" s="11" t="s">
        <v>1037</v>
      </c>
      <c r="G4" s="11" t="s">
        <v>1047</v>
      </c>
      <c r="H4" s="11" t="s">
        <v>290</v>
      </c>
      <c r="I4" s="11"/>
      <c r="J4" s="11">
        <v>102</v>
      </c>
      <c r="K4" s="11" t="s">
        <v>1042</v>
      </c>
      <c r="L4" s="11" t="s">
        <v>1043</v>
      </c>
      <c r="M4" s="11">
        <v>55</v>
      </c>
      <c r="N4" s="11"/>
      <c r="O4" s="11" t="s">
        <v>290</v>
      </c>
      <c r="P4" s="11" t="s">
        <v>290</v>
      </c>
      <c r="Q4" s="11"/>
      <c r="R4" s="11"/>
      <c r="S4" s="11">
        <v>0</v>
      </c>
      <c r="T4" s="11" t="s">
        <v>1044</v>
      </c>
    </row>
    <row r="5" spans="1:20" ht="15" customHeight="1" x14ac:dyDescent="0.2">
      <c r="A5" s="11" t="s">
        <v>1048</v>
      </c>
      <c r="B5" s="11" t="s">
        <v>342</v>
      </c>
      <c r="C5" s="11" t="s">
        <v>343</v>
      </c>
      <c r="D5" s="11" t="s">
        <v>111</v>
      </c>
      <c r="E5" s="11" t="s">
        <v>1049</v>
      </c>
      <c r="F5" s="11" t="s">
        <v>1037</v>
      </c>
      <c r="G5" s="11" t="s">
        <v>1047</v>
      </c>
      <c r="H5" s="11" t="s">
        <v>290</v>
      </c>
      <c r="I5" s="11"/>
      <c r="J5" s="11">
        <v>122</v>
      </c>
      <c r="K5" s="11" t="s">
        <v>1042</v>
      </c>
      <c r="L5" s="11" t="s">
        <v>1043</v>
      </c>
      <c r="M5" s="11">
        <v>50</v>
      </c>
      <c r="N5" s="11"/>
      <c r="O5" s="11" t="s">
        <v>290</v>
      </c>
      <c r="P5" s="11" t="s">
        <v>290</v>
      </c>
      <c r="Q5" s="11"/>
      <c r="R5" s="11"/>
      <c r="S5" s="11">
        <v>0</v>
      </c>
      <c r="T5" s="11" t="s">
        <v>1044</v>
      </c>
    </row>
    <row r="6" spans="1:20" ht="15" customHeight="1" x14ac:dyDescent="0.2">
      <c r="A6" s="11" t="s">
        <v>1050</v>
      </c>
      <c r="B6" s="11" t="s">
        <v>342</v>
      </c>
      <c r="C6" s="11" t="s">
        <v>343</v>
      </c>
      <c r="D6" s="11" t="s">
        <v>111</v>
      </c>
      <c r="E6" s="11" t="s">
        <v>1051</v>
      </c>
      <c r="F6" s="11" t="s">
        <v>1037</v>
      </c>
      <c r="G6" s="11" t="s">
        <v>1038</v>
      </c>
      <c r="H6" s="11" t="s">
        <v>290</v>
      </c>
      <c r="I6" s="11"/>
      <c r="J6" s="11">
        <v>102</v>
      </c>
      <c r="K6" s="11" t="s">
        <v>1042</v>
      </c>
      <c r="L6" s="11" t="s">
        <v>1052</v>
      </c>
      <c r="M6" s="11">
        <v>80</v>
      </c>
      <c r="N6" s="11"/>
      <c r="O6" s="11" t="s">
        <v>290</v>
      </c>
      <c r="P6" s="11" t="s">
        <v>290</v>
      </c>
      <c r="Q6" s="11"/>
      <c r="R6" s="11"/>
      <c r="S6" s="11">
        <v>0</v>
      </c>
      <c r="T6" s="11" t="s">
        <v>1044</v>
      </c>
    </row>
    <row r="7" spans="1:20" ht="15" customHeight="1" x14ac:dyDescent="0.2">
      <c r="A7" s="11" t="s">
        <v>1053</v>
      </c>
      <c r="B7" s="11" t="s">
        <v>342</v>
      </c>
      <c r="C7" s="11" t="s">
        <v>343</v>
      </c>
      <c r="D7" s="11" t="s">
        <v>111</v>
      </c>
      <c r="E7" s="11" t="s">
        <v>1054</v>
      </c>
      <c r="F7" s="11" t="s">
        <v>1037</v>
      </c>
      <c r="G7" s="11" t="s">
        <v>1055</v>
      </c>
      <c r="H7" s="11" t="s">
        <v>290</v>
      </c>
      <c r="I7" s="11"/>
      <c r="J7" s="11">
        <v>102</v>
      </c>
      <c r="K7" s="11" t="s">
        <v>1042</v>
      </c>
      <c r="L7" s="11" t="s">
        <v>1043</v>
      </c>
      <c r="M7" s="11">
        <v>45</v>
      </c>
      <c r="N7" s="11"/>
      <c r="O7" s="11" t="s">
        <v>290</v>
      </c>
      <c r="P7" s="11" t="s">
        <v>290</v>
      </c>
      <c r="Q7" s="11"/>
      <c r="R7" s="11"/>
      <c r="S7" s="11">
        <v>0</v>
      </c>
      <c r="T7" s="11" t="s">
        <v>1044</v>
      </c>
    </row>
    <row r="8" spans="1:20" ht="15" customHeight="1" x14ac:dyDescent="0.2">
      <c r="A8" s="11" t="s">
        <v>1056</v>
      </c>
      <c r="B8" s="11" t="s">
        <v>342</v>
      </c>
      <c r="C8" s="11" t="s">
        <v>343</v>
      </c>
      <c r="D8" s="11" t="s">
        <v>111</v>
      </c>
      <c r="E8" s="11" t="s">
        <v>1057</v>
      </c>
      <c r="F8" s="11" t="s">
        <v>1037</v>
      </c>
      <c r="G8" s="11" t="s">
        <v>1055</v>
      </c>
      <c r="H8" s="11" t="s">
        <v>290</v>
      </c>
      <c r="I8" s="11"/>
      <c r="J8" s="11"/>
      <c r="K8" s="11" t="s">
        <v>1042</v>
      </c>
      <c r="L8" s="11" t="s">
        <v>1043</v>
      </c>
      <c r="M8" s="11">
        <v>50</v>
      </c>
      <c r="N8" s="11"/>
      <c r="O8" s="11" t="s">
        <v>290</v>
      </c>
      <c r="P8" s="11" t="s">
        <v>290</v>
      </c>
      <c r="Q8" s="11"/>
      <c r="R8" s="11"/>
      <c r="S8" s="11">
        <v>0</v>
      </c>
      <c r="T8" s="11" t="s">
        <v>1044</v>
      </c>
    </row>
    <row r="9" spans="1:20" ht="15" customHeight="1" x14ac:dyDescent="0.2">
      <c r="A9" s="11" t="s">
        <v>1058</v>
      </c>
      <c r="B9" s="11" t="s">
        <v>342</v>
      </c>
      <c r="C9" s="11" t="s">
        <v>343</v>
      </c>
      <c r="D9" s="11" t="s">
        <v>111</v>
      </c>
      <c r="E9" s="11" t="s">
        <v>1059</v>
      </c>
      <c r="F9" s="11" t="s">
        <v>1037</v>
      </c>
      <c r="G9" s="11" t="s">
        <v>1055</v>
      </c>
      <c r="H9" s="11" t="s">
        <v>290</v>
      </c>
      <c r="I9" s="11"/>
      <c r="J9" s="11"/>
      <c r="K9" s="11" t="s">
        <v>1042</v>
      </c>
      <c r="L9" s="11" t="s">
        <v>1043</v>
      </c>
      <c r="M9" s="11">
        <v>60</v>
      </c>
      <c r="N9" s="11"/>
      <c r="O9" s="11" t="s">
        <v>290</v>
      </c>
      <c r="P9" s="11" t="s">
        <v>290</v>
      </c>
      <c r="Q9" s="11"/>
      <c r="R9" s="11"/>
      <c r="S9" s="11">
        <v>0</v>
      </c>
      <c r="T9" s="11" t="s">
        <v>1044</v>
      </c>
    </row>
    <row r="10" spans="1:20" ht="15" customHeight="1" x14ac:dyDescent="0.2">
      <c r="A10" s="11" t="s">
        <v>1060</v>
      </c>
      <c r="B10" s="11" t="s">
        <v>339</v>
      </c>
      <c r="C10" s="11" t="s">
        <v>340</v>
      </c>
      <c r="D10" s="11" t="s">
        <v>111</v>
      </c>
      <c r="E10" s="11" t="s">
        <v>1061</v>
      </c>
      <c r="F10" s="11" t="s">
        <v>1037</v>
      </c>
      <c r="G10" s="11" t="s">
        <v>1038</v>
      </c>
      <c r="H10" s="11" t="s">
        <v>290</v>
      </c>
      <c r="I10" s="11"/>
      <c r="J10" s="11">
        <v>102</v>
      </c>
      <c r="K10" s="11" t="s">
        <v>1042</v>
      </c>
      <c r="L10" s="11" t="s">
        <v>1043</v>
      </c>
      <c r="M10" s="11">
        <v>50</v>
      </c>
      <c r="N10" s="11"/>
      <c r="O10" s="11" t="s">
        <v>290</v>
      </c>
      <c r="P10" s="11" t="s">
        <v>290</v>
      </c>
      <c r="Q10" s="11"/>
      <c r="R10" s="11"/>
      <c r="S10" s="11">
        <v>0</v>
      </c>
      <c r="T10" s="11" t="s">
        <v>1044</v>
      </c>
    </row>
    <row r="11" spans="1:20" ht="15" customHeight="1" x14ac:dyDescent="0.2">
      <c r="A11" s="11" t="s">
        <v>1062</v>
      </c>
      <c r="B11" s="11" t="s">
        <v>339</v>
      </c>
      <c r="C11" s="11" t="s">
        <v>340</v>
      </c>
      <c r="D11" s="11" t="s">
        <v>111</v>
      </c>
      <c r="E11" s="11" t="s">
        <v>1063</v>
      </c>
      <c r="F11" s="11" t="s">
        <v>1037</v>
      </c>
      <c r="G11" s="11" t="s">
        <v>1055</v>
      </c>
      <c r="H11" s="11" t="s">
        <v>290</v>
      </c>
      <c r="I11" s="11"/>
      <c r="J11" s="11"/>
      <c r="K11" s="11" t="s">
        <v>1042</v>
      </c>
      <c r="L11" s="11" t="s">
        <v>1043</v>
      </c>
      <c r="M11" s="11">
        <v>35</v>
      </c>
      <c r="N11" s="11"/>
      <c r="O11" s="11" t="s">
        <v>290</v>
      </c>
      <c r="P11" s="11" t="s">
        <v>290</v>
      </c>
      <c r="Q11" s="11"/>
      <c r="R11" s="11"/>
      <c r="S11" s="11">
        <v>0</v>
      </c>
      <c r="T11" s="11" t="s">
        <v>1044</v>
      </c>
    </row>
    <row r="12" spans="1:20" ht="15" customHeight="1" x14ac:dyDescent="0.2">
      <c r="A12" s="11" t="s">
        <v>1064</v>
      </c>
      <c r="B12" s="11" t="s">
        <v>339</v>
      </c>
      <c r="C12" s="11" t="s">
        <v>340</v>
      </c>
      <c r="D12" s="11" t="s">
        <v>111</v>
      </c>
      <c r="E12" s="11" t="s">
        <v>1065</v>
      </c>
      <c r="F12" s="11" t="s">
        <v>1037</v>
      </c>
      <c r="G12" s="11" t="s">
        <v>1066</v>
      </c>
      <c r="H12" s="11" t="s">
        <v>290</v>
      </c>
      <c r="I12" s="11"/>
      <c r="J12" s="11">
        <v>117</v>
      </c>
      <c r="K12" s="11" t="s">
        <v>1042</v>
      </c>
      <c r="L12" s="11" t="s">
        <v>1043</v>
      </c>
      <c r="M12" s="11">
        <v>55</v>
      </c>
      <c r="N12" s="11"/>
      <c r="O12" s="11" t="s">
        <v>290</v>
      </c>
      <c r="P12" s="11" t="s">
        <v>290</v>
      </c>
      <c r="Q12" s="11"/>
      <c r="R12" s="11"/>
      <c r="S12" s="11">
        <v>0</v>
      </c>
      <c r="T12" s="11" t="s">
        <v>1044</v>
      </c>
    </row>
    <row r="13" spans="1:20" ht="15" customHeight="1" x14ac:dyDescent="0.2">
      <c r="A13" s="11" t="s">
        <v>1067</v>
      </c>
      <c r="B13" s="11" t="s">
        <v>339</v>
      </c>
      <c r="C13" s="11" t="s">
        <v>340</v>
      </c>
      <c r="D13" s="11" t="s">
        <v>111</v>
      </c>
      <c r="E13" s="11" t="s">
        <v>1068</v>
      </c>
      <c r="F13" s="11" t="s">
        <v>1037</v>
      </c>
      <c r="G13" s="11" t="s">
        <v>1055</v>
      </c>
      <c r="H13" s="11" t="s">
        <v>290</v>
      </c>
      <c r="I13" s="11"/>
      <c r="J13" s="11"/>
      <c r="K13" s="11" t="s">
        <v>1042</v>
      </c>
      <c r="L13" s="11" t="s">
        <v>1043</v>
      </c>
      <c r="M13" s="11">
        <v>25</v>
      </c>
      <c r="N13" s="11"/>
      <c r="O13" s="11" t="s">
        <v>290</v>
      </c>
      <c r="P13" s="11" t="s">
        <v>290</v>
      </c>
      <c r="Q13" s="11"/>
      <c r="R13" s="11"/>
      <c r="S13" s="11">
        <v>0</v>
      </c>
      <c r="T13" s="11" t="s">
        <v>1044</v>
      </c>
    </row>
    <row r="14" spans="1:20" ht="15" customHeight="1" x14ac:dyDescent="0.2">
      <c r="A14" s="11" t="s">
        <v>1069</v>
      </c>
      <c r="B14" s="11" t="s">
        <v>339</v>
      </c>
      <c r="C14" s="11" t="s">
        <v>340</v>
      </c>
      <c r="D14" s="11" t="s">
        <v>111</v>
      </c>
      <c r="E14" s="11" t="s">
        <v>1070</v>
      </c>
      <c r="F14" s="11" t="s">
        <v>1037</v>
      </c>
      <c r="G14" s="11" t="s">
        <v>1038</v>
      </c>
      <c r="H14" s="11" t="s">
        <v>290</v>
      </c>
      <c r="I14" s="11"/>
      <c r="J14" s="11">
        <v>107</v>
      </c>
      <c r="K14" s="11" t="s">
        <v>1042</v>
      </c>
      <c r="L14" s="11" t="s">
        <v>1043</v>
      </c>
      <c r="M14" s="11">
        <v>45</v>
      </c>
      <c r="N14" s="11"/>
      <c r="O14" s="11" t="s">
        <v>290</v>
      </c>
      <c r="P14" s="11" t="s">
        <v>290</v>
      </c>
      <c r="Q14" s="11"/>
      <c r="R14" s="11"/>
      <c r="S14" s="11">
        <v>0</v>
      </c>
      <c r="T14" s="11" t="s">
        <v>1044</v>
      </c>
    </row>
    <row r="15" spans="1:20" ht="15" customHeight="1" x14ac:dyDescent="0.2">
      <c r="A15" s="11" t="s">
        <v>1071</v>
      </c>
      <c r="B15" s="11" t="s">
        <v>339</v>
      </c>
      <c r="C15" s="11" t="s">
        <v>340</v>
      </c>
      <c r="D15" s="11" t="s">
        <v>111</v>
      </c>
      <c r="E15" s="11" t="s">
        <v>1072</v>
      </c>
      <c r="F15" s="11" t="s">
        <v>1037</v>
      </c>
      <c r="G15" s="11" t="s">
        <v>1038</v>
      </c>
      <c r="H15" s="11" t="s">
        <v>290</v>
      </c>
      <c r="I15" s="11"/>
      <c r="J15" s="11">
        <v>97</v>
      </c>
      <c r="K15" s="11" t="s">
        <v>1042</v>
      </c>
      <c r="L15" s="11" t="s">
        <v>1043</v>
      </c>
      <c r="M15" s="11">
        <v>50</v>
      </c>
      <c r="N15" s="11"/>
      <c r="O15" s="11" t="s">
        <v>290</v>
      </c>
      <c r="P15" s="11" t="s">
        <v>290</v>
      </c>
      <c r="Q15" s="11"/>
      <c r="R15" s="11"/>
      <c r="S15" s="11">
        <v>0</v>
      </c>
      <c r="T15" s="11" t="s">
        <v>1044</v>
      </c>
    </row>
    <row r="16" spans="1:20" ht="15" customHeight="1" x14ac:dyDescent="0.2">
      <c r="A16" s="11" t="s">
        <v>1073</v>
      </c>
      <c r="B16" s="11" t="s">
        <v>339</v>
      </c>
      <c r="C16" s="11" t="s">
        <v>340</v>
      </c>
      <c r="D16" s="11" t="s">
        <v>111</v>
      </c>
      <c r="E16" s="11" t="s">
        <v>1074</v>
      </c>
      <c r="F16" s="11" t="s">
        <v>1037</v>
      </c>
      <c r="G16" s="11" t="s">
        <v>1055</v>
      </c>
      <c r="H16" s="11" t="s">
        <v>290</v>
      </c>
      <c r="I16" s="11"/>
      <c r="J16" s="11"/>
      <c r="K16" s="11" t="s">
        <v>1042</v>
      </c>
      <c r="L16" s="11" t="s">
        <v>1043</v>
      </c>
      <c r="M16" s="11">
        <v>60</v>
      </c>
      <c r="N16" s="11"/>
      <c r="O16" s="11" t="s">
        <v>290</v>
      </c>
      <c r="P16" s="11" t="s">
        <v>290</v>
      </c>
      <c r="Q16" s="11"/>
      <c r="R16" s="11"/>
      <c r="S16" s="11">
        <v>0</v>
      </c>
      <c r="T16" s="11" t="s">
        <v>1044</v>
      </c>
    </row>
    <row r="17" spans="1:20" ht="15" customHeight="1" x14ac:dyDescent="0.2">
      <c r="A17" s="11" t="s">
        <v>1075</v>
      </c>
      <c r="B17" s="11" t="s">
        <v>339</v>
      </c>
      <c r="C17" s="11" t="s">
        <v>340</v>
      </c>
      <c r="D17" s="11" t="s">
        <v>111</v>
      </c>
      <c r="E17" s="11" t="s">
        <v>1076</v>
      </c>
      <c r="F17" s="11" t="s">
        <v>1037</v>
      </c>
      <c r="G17" s="11" t="s">
        <v>1055</v>
      </c>
      <c r="H17" s="11" t="s">
        <v>290</v>
      </c>
      <c r="I17" s="11"/>
      <c r="J17" s="11"/>
      <c r="K17" s="11"/>
      <c r="L17" s="11"/>
      <c r="M17" s="11">
        <v>30</v>
      </c>
      <c r="N17" s="11"/>
      <c r="O17" s="11" t="s">
        <v>290</v>
      </c>
      <c r="P17" s="11" t="s">
        <v>290</v>
      </c>
      <c r="Q17" s="11"/>
      <c r="R17" s="11"/>
      <c r="S17" s="11">
        <v>0</v>
      </c>
      <c r="T17" s="11" t="s">
        <v>1039</v>
      </c>
    </row>
    <row r="18" spans="1:20" ht="15" customHeight="1" x14ac:dyDescent="0.2">
      <c r="A18" s="11" t="s">
        <v>1077</v>
      </c>
      <c r="B18" s="11" t="s">
        <v>339</v>
      </c>
      <c r="C18" s="11" t="s">
        <v>340</v>
      </c>
      <c r="D18" s="11" t="s">
        <v>111</v>
      </c>
      <c r="E18" s="11" t="s">
        <v>1078</v>
      </c>
      <c r="F18" s="11" t="s">
        <v>1037</v>
      </c>
      <c r="G18" s="11" t="s">
        <v>1066</v>
      </c>
      <c r="H18" s="11" t="s">
        <v>290</v>
      </c>
      <c r="I18" s="11"/>
      <c r="J18" s="11">
        <v>102</v>
      </c>
      <c r="K18" s="11" t="s">
        <v>1042</v>
      </c>
      <c r="L18" s="11" t="s">
        <v>1043</v>
      </c>
      <c r="M18" s="11">
        <v>60</v>
      </c>
      <c r="N18" s="11"/>
      <c r="O18" s="11" t="s">
        <v>290</v>
      </c>
      <c r="P18" s="11" t="s">
        <v>290</v>
      </c>
      <c r="Q18" s="11"/>
      <c r="R18" s="11"/>
      <c r="S18" s="11">
        <v>0</v>
      </c>
      <c r="T18" s="11" t="s">
        <v>1044</v>
      </c>
    </row>
    <row r="19" spans="1:20" ht="15" customHeight="1" x14ac:dyDescent="0.2">
      <c r="A19" s="11" t="s">
        <v>1079</v>
      </c>
      <c r="B19" s="11" t="s">
        <v>339</v>
      </c>
      <c r="C19" s="11" t="s">
        <v>340</v>
      </c>
      <c r="D19" s="11" t="s">
        <v>111</v>
      </c>
      <c r="E19" s="11" t="s">
        <v>1080</v>
      </c>
      <c r="F19" s="11" t="s">
        <v>1037</v>
      </c>
      <c r="G19" s="11" t="s">
        <v>1066</v>
      </c>
      <c r="H19" s="11" t="s">
        <v>290</v>
      </c>
      <c r="I19" s="11"/>
      <c r="J19" s="11">
        <v>102</v>
      </c>
      <c r="K19" s="11" t="s">
        <v>1042</v>
      </c>
      <c r="L19" s="11" t="s">
        <v>1052</v>
      </c>
      <c r="M19" s="11">
        <v>90</v>
      </c>
      <c r="N19" s="11"/>
      <c r="O19" s="11" t="s">
        <v>290</v>
      </c>
      <c r="P19" s="11" t="s">
        <v>290</v>
      </c>
      <c r="Q19" s="11"/>
      <c r="R19" s="11"/>
      <c r="S19" s="11">
        <v>0</v>
      </c>
      <c r="T19" s="11" t="s">
        <v>1044</v>
      </c>
    </row>
    <row r="20" spans="1:20" ht="15" customHeight="1" x14ac:dyDescent="0.2">
      <c r="A20" s="11" t="s">
        <v>1081</v>
      </c>
      <c r="B20" s="11" t="s">
        <v>484</v>
      </c>
      <c r="C20" s="11" t="s">
        <v>485</v>
      </c>
      <c r="D20" s="11" t="s">
        <v>192</v>
      </c>
      <c r="E20" s="11" t="s">
        <v>1082</v>
      </c>
      <c r="F20" s="11" t="s">
        <v>1037</v>
      </c>
      <c r="G20" s="11" t="s">
        <v>1055</v>
      </c>
      <c r="H20" s="11" t="s">
        <v>290</v>
      </c>
      <c r="I20" s="11"/>
      <c r="J20" s="11"/>
      <c r="K20" s="11"/>
      <c r="L20" s="11"/>
      <c r="M20" s="11">
        <v>25</v>
      </c>
      <c r="N20" s="11"/>
      <c r="O20" s="11" t="s">
        <v>290</v>
      </c>
      <c r="P20" s="11" t="s">
        <v>290</v>
      </c>
      <c r="Q20" s="11"/>
      <c r="R20" s="11"/>
      <c r="S20" s="11">
        <v>0</v>
      </c>
      <c r="T20" s="11" t="s">
        <v>1039</v>
      </c>
    </row>
    <row r="21" spans="1:20" ht="15" customHeight="1" x14ac:dyDescent="0.2">
      <c r="A21" s="11" t="s">
        <v>1083</v>
      </c>
      <c r="B21" s="11" t="s">
        <v>484</v>
      </c>
      <c r="C21" s="11" t="s">
        <v>485</v>
      </c>
      <c r="D21" s="11" t="s">
        <v>192</v>
      </c>
      <c r="E21" s="11" t="s">
        <v>1084</v>
      </c>
      <c r="F21" s="11" t="s">
        <v>1037</v>
      </c>
      <c r="G21" s="11" t="s">
        <v>1066</v>
      </c>
      <c r="H21" s="11" t="s">
        <v>290</v>
      </c>
      <c r="I21" s="11"/>
      <c r="J21" s="11">
        <v>102</v>
      </c>
      <c r="K21" s="11"/>
      <c r="L21" s="11"/>
      <c r="M21" s="11">
        <v>35</v>
      </c>
      <c r="N21" s="11"/>
      <c r="O21" s="11" t="s">
        <v>290</v>
      </c>
      <c r="P21" s="11" t="s">
        <v>290</v>
      </c>
      <c r="Q21" s="11"/>
      <c r="R21" s="11"/>
      <c r="S21" s="11">
        <v>0</v>
      </c>
      <c r="T21" s="11" t="s">
        <v>1039</v>
      </c>
    </row>
    <row r="22" spans="1:20" ht="15" customHeight="1" x14ac:dyDescent="0.2">
      <c r="A22" s="11" t="s">
        <v>1085</v>
      </c>
      <c r="B22" s="11" t="s">
        <v>484</v>
      </c>
      <c r="C22" s="11" t="s">
        <v>485</v>
      </c>
      <c r="D22" s="11" t="s">
        <v>192</v>
      </c>
      <c r="E22" s="11" t="s">
        <v>1086</v>
      </c>
      <c r="F22" s="11" t="s">
        <v>1037</v>
      </c>
      <c r="G22" s="11" t="s">
        <v>1055</v>
      </c>
      <c r="H22" s="11" t="s">
        <v>290</v>
      </c>
      <c r="I22" s="11"/>
      <c r="J22" s="11"/>
      <c r="K22" s="11"/>
      <c r="L22" s="11"/>
      <c r="M22" s="11">
        <v>60</v>
      </c>
      <c r="N22" s="11"/>
      <c r="O22" s="11" t="s">
        <v>290</v>
      </c>
      <c r="P22" s="11" t="s">
        <v>290</v>
      </c>
      <c r="Q22" s="11"/>
      <c r="R22" s="11"/>
      <c r="S22" s="11">
        <v>0</v>
      </c>
      <c r="T22" s="11" t="s">
        <v>1039</v>
      </c>
    </row>
    <row r="23" spans="1:20" ht="15" customHeight="1" x14ac:dyDescent="0.2">
      <c r="A23" s="11" t="s">
        <v>1087</v>
      </c>
      <c r="B23" s="11" t="s">
        <v>484</v>
      </c>
      <c r="C23" s="11" t="s">
        <v>485</v>
      </c>
      <c r="D23" s="11" t="s">
        <v>192</v>
      </c>
      <c r="E23" s="11" t="s">
        <v>1088</v>
      </c>
      <c r="F23" s="11" t="s">
        <v>1037</v>
      </c>
      <c r="G23" s="11" t="s">
        <v>1066</v>
      </c>
      <c r="H23" s="11" t="s">
        <v>290</v>
      </c>
      <c r="I23" s="11"/>
      <c r="J23" s="11">
        <v>102</v>
      </c>
      <c r="K23" s="11"/>
      <c r="L23" s="11"/>
      <c r="M23" s="11">
        <v>40</v>
      </c>
      <c r="N23" s="11"/>
      <c r="O23" s="11" t="s">
        <v>290</v>
      </c>
      <c r="P23" s="11" t="s">
        <v>290</v>
      </c>
      <c r="Q23" s="11"/>
      <c r="R23" s="11"/>
      <c r="S23" s="11">
        <v>0</v>
      </c>
      <c r="T23" s="11" t="s">
        <v>1039</v>
      </c>
    </row>
    <row r="24" spans="1:20" ht="15" customHeight="1" x14ac:dyDescent="0.2">
      <c r="A24" s="11" t="s">
        <v>1089</v>
      </c>
      <c r="B24" s="11" t="s">
        <v>484</v>
      </c>
      <c r="C24" s="11" t="s">
        <v>485</v>
      </c>
      <c r="D24" s="11" t="s">
        <v>192</v>
      </c>
      <c r="E24" s="11" t="s">
        <v>1090</v>
      </c>
      <c r="F24" s="11" t="s">
        <v>1037</v>
      </c>
      <c r="G24" s="11" t="s">
        <v>1066</v>
      </c>
      <c r="H24" s="11" t="s">
        <v>290</v>
      </c>
      <c r="I24" s="11"/>
      <c r="J24" s="11">
        <v>102</v>
      </c>
      <c r="K24" s="11"/>
      <c r="L24" s="11"/>
      <c r="M24" s="11">
        <v>30</v>
      </c>
      <c r="N24" s="11"/>
      <c r="O24" s="11" t="s">
        <v>290</v>
      </c>
      <c r="P24" s="11" t="s">
        <v>290</v>
      </c>
      <c r="Q24" s="11"/>
      <c r="R24" s="11"/>
      <c r="S24" s="11">
        <v>0</v>
      </c>
      <c r="T24" s="11" t="s">
        <v>1039</v>
      </c>
    </row>
    <row r="25" spans="1:20" ht="15" customHeight="1" x14ac:dyDescent="0.2">
      <c r="A25" s="11" t="s">
        <v>1091</v>
      </c>
      <c r="B25" s="11" t="s">
        <v>484</v>
      </c>
      <c r="C25" s="11" t="s">
        <v>485</v>
      </c>
      <c r="D25" s="11" t="s">
        <v>192</v>
      </c>
      <c r="E25" s="11" t="s">
        <v>1092</v>
      </c>
      <c r="F25" s="11" t="s">
        <v>1037</v>
      </c>
      <c r="G25" s="11" t="s">
        <v>1055</v>
      </c>
      <c r="H25" s="11" t="s">
        <v>290</v>
      </c>
      <c r="I25" s="11"/>
      <c r="J25" s="11"/>
      <c r="K25" s="11"/>
      <c r="L25" s="11"/>
      <c r="M25" s="11">
        <v>30</v>
      </c>
      <c r="N25" s="11"/>
      <c r="O25" s="11" t="s">
        <v>290</v>
      </c>
      <c r="P25" s="11" t="s">
        <v>290</v>
      </c>
      <c r="Q25" s="11"/>
      <c r="R25" s="11"/>
      <c r="S25" s="11">
        <v>0</v>
      </c>
      <c r="T25" s="11" t="s">
        <v>1039</v>
      </c>
    </row>
    <row r="26" spans="1:20" ht="15" customHeight="1" x14ac:dyDescent="0.2">
      <c r="A26" s="11" t="s">
        <v>1093</v>
      </c>
      <c r="B26" s="11" t="s">
        <v>484</v>
      </c>
      <c r="C26" s="11" t="s">
        <v>485</v>
      </c>
      <c r="D26" s="11" t="s">
        <v>192</v>
      </c>
      <c r="E26" s="11" t="s">
        <v>1094</v>
      </c>
      <c r="F26" s="11" t="s">
        <v>1037</v>
      </c>
      <c r="G26" s="11" t="s">
        <v>1038</v>
      </c>
      <c r="H26" s="11" t="s">
        <v>290</v>
      </c>
      <c r="I26" s="11"/>
      <c r="J26" s="11">
        <v>102</v>
      </c>
      <c r="K26" s="11"/>
      <c r="L26" s="11"/>
      <c r="M26" s="11">
        <v>50</v>
      </c>
      <c r="N26" s="11"/>
      <c r="O26" s="11" t="s">
        <v>290</v>
      </c>
      <c r="P26" s="11" t="s">
        <v>290</v>
      </c>
      <c r="Q26" s="11"/>
      <c r="R26" s="11"/>
      <c r="S26" s="11">
        <v>0</v>
      </c>
      <c r="T26" s="11" t="s">
        <v>1039</v>
      </c>
    </row>
    <row r="27" spans="1:20" ht="15" customHeight="1" x14ac:dyDescent="0.2">
      <c r="A27" s="11" t="s">
        <v>1095</v>
      </c>
      <c r="B27" s="11" t="s">
        <v>764</v>
      </c>
      <c r="C27" s="11" t="s">
        <v>765</v>
      </c>
      <c r="D27" s="11" t="s">
        <v>759</v>
      </c>
      <c r="E27" s="11" t="s">
        <v>1096</v>
      </c>
      <c r="F27" s="11" t="s">
        <v>1037</v>
      </c>
      <c r="G27" s="11" t="s">
        <v>1047</v>
      </c>
      <c r="H27" s="11" t="s">
        <v>1097</v>
      </c>
      <c r="I27" s="11">
        <v>5</v>
      </c>
      <c r="J27" s="11">
        <v>112</v>
      </c>
      <c r="K27" s="11" t="s">
        <v>1098</v>
      </c>
      <c r="L27" s="11" t="s">
        <v>1052</v>
      </c>
      <c r="M27" s="11">
        <v>85</v>
      </c>
      <c r="N27" s="11">
        <v>40</v>
      </c>
      <c r="O27" s="11" t="s">
        <v>290</v>
      </c>
      <c r="P27" s="11" t="s">
        <v>290</v>
      </c>
      <c r="Q27" s="11" t="s">
        <v>1099</v>
      </c>
      <c r="R27" s="11"/>
      <c r="S27" s="11">
        <v>10</v>
      </c>
      <c r="T27" s="11" t="s">
        <v>57</v>
      </c>
    </row>
    <row r="28" spans="1:20" ht="15" customHeight="1" x14ac:dyDescent="0.2">
      <c r="A28" s="11" t="s">
        <v>1100</v>
      </c>
      <c r="B28" s="11" t="s">
        <v>764</v>
      </c>
      <c r="C28" s="11" t="s">
        <v>765</v>
      </c>
      <c r="D28" s="11" t="s">
        <v>759</v>
      </c>
      <c r="E28" s="11" t="s">
        <v>1101</v>
      </c>
      <c r="F28" s="11" t="s">
        <v>1037</v>
      </c>
      <c r="G28" s="11" t="s">
        <v>1066</v>
      </c>
      <c r="H28" s="11" t="s">
        <v>290</v>
      </c>
      <c r="I28" s="11">
        <v>3</v>
      </c>
      <c r="J28" s="11">
        <v>112</v>
      </c>
      <c r="K28" s="11" t="s">
        <v>1098</v>
      </c>
      <c r="L28" s="11" t="s">
        <v>1102</v>
      </c>
      <c r="M28" s="11">
        <v>45</v>
      </c>
      <c r="N28" s="11">
        <v>15</v>
      </c>
      <c r="O28" s="11" t="s">
        <v>290</v>
      </c>
      <c r="P28" s="11" t="s">
        <v>290</v>
      </c>
      <c r="Q28" s="11" t="s">
        <v>1103</v>
      </c>
      <c r="R28" s="11"/>
      <c r="S28" s="11">
        <v>20</v>
      </c>
      <c r="T28" s="11" t="s">
        <v>57</v>
      </c>
    </row>
    <row r="29" spans="1:20" ht="15" customHeight="1" x14ac:dyDescent="0.2">
      <c r="A29" s="11" t="s">
        <v>1104</v>
      </c>
      <c r="B29" s="11" t="s">
        <v>764</v>
      </c>
      <c r="C29" s="11" t="s">
        <v>765</v>
      </c>
      <c r="D29" s="11" t="s">
        <v>759</v>
      </c>
      <c r="E29" s="11" t="s">
        <v>1105</v>
      </c>
      <c r="F29" s="11" t="s">
        <v>1037</v>
      </c>
      <c r="G29" s="11" t="s">
        <v>1055</v>
      </c>
      <c r="H29" s="11" t="s">
        <v>290</v>
      </c>
      <c r="I29" s="11">
        <v>22</v>
      </c>
      <c r="J29" s="11"/>
      <c r="K29" s="11" t="s">
        <v>1098</v>
      </c>
      <c r="L29" s="11" t="s">
        <v>1102</v>
      </c>
      <c r="M29" s="11">
        <v>50</v>
      </c>
      <c r="N29" s="11">
        <v>20</v>
      </c>
      <c r="O29" s="11" t="s">
        <v>290</v>
      </c>
      <c r="P29" s="11" t="s">
        <v>290</v>
      </c>
      <c r="Q29" s="11" t="s">
        <v>1106</v>
      </c>
      <c r="R29" s="11"/>
      <c r="S29" s="11">
        <v>30</v>
      </c>
      <c r="T29" s="11" t="s">
        <v>57</v>
      </c>
    </row>
    <row r="30" spans="1:20" ht="15" customHeight="1" x14ac:dyDescent="0.2">
      <c r="A30" s="11" t="s">
        <v>1107</v>
      </c>
      <c r="B30" s="11" t="s">
        <v>764</v>
      </c>
      <c r="C30" s="11" t="s">
        <v>765</v>
      </c>
      <c r="D30" s="11" t="s">
        <v>759</v>
      </c>
      <c r="E30" s="11" t="s">
        <v>1108</v>
      </c>
      <c r="F30" s="11" t="s">
        <v>1037</v>
      </c>
      <c r="G30" s="11" t="s">
        <v>1055</v>
      </c>
      <c r="H30" s="11" t="s">
        <v>1097</v>
      </c>
      <c r="I30" s="11">
        <v>5</v>
      </c>
      <c r="J30" s="11"/>
      <c r="K30" s="11" t="s">
        <v>1098</v>
      </c>
      <c r="L30" s="11" t="s">
        <v>1102</v>
      </c>
      <c r="M30" s="11">
        <v>55</v>
      </c>
      <c r="N30" s="11">
        <v>20</v>
      </c>
      <c r="O30" s="11" t="s">
        <v>290</v>
      </c>
      <c r="P30" s="11" t="s">
        <v>290</v>
      </c>
      <c r="Q30" s="11" t="s">
        <v>1109</v>
      </c>
      <c r="R30" s="11"/>
      <c r="S30" s="11">
        <v>40</v>
      </c>
      <c r="T30" s="11" t="s">
        <v>57</v>
      </c>
    </row>
    <row r="31" spans="1:20" ht="15" customHeight="1" x14ac:dyDescent="0.2">
      <c r="A31" s="11" t="s">
        <v>1110</v>
      </c>
      <c r="B31" s="11" t="s">
        <v>764</v>
      </c>
      <c r="C31" s="11" t="s">
        <v>765</v>
      </c>
      <c r="D31" s="11" t="s">
        <v>759</v>
      </c>
      <c r="E31" s="11" t="s">
        <v>1111</v>
      </c>
      <c r="F31" s="11" t="s">
        <v>1037</v>
      </c>
      <c r="G31" s="11" t="s">
        <v>1038</v>
      </c>
      <c r="H31" s="11" t="s">
        <v>290</v>
      </c>
      <c r="I31" s="11">
        <v>5</v>
      </c>
      <c r="J31" s="11">
        <v>97</v>
      </c>
      <c r="K31" s="11" t="s">
        <v>1098</v>
      </c>
      <c r="L31" s="11" t="s">
        <v>1102</v>
      </c>
      <c r="M31" s="11">
        <v>30</v>
      </c>
      <c r="N31" s="11">
        <v>10</v>
      </c>
      <c r="O31" s="11" t="s">
        <v>290</v>
      </c>
      <c r="P31" s="11" t="s">
        <v>290</v>
      </c>
      <c r="Q31" s="11" t="s">
        <v>1112</v>
      </c>
      <c r="R31" s="11"/>
      <c r="S31" s="11">
        <v>50</v>
      </c>
      <c r="T31" s="11" t="s">
        <v>57</v>
      </c>
    </row>
    <row r="32" spans="1:20" ht="15" customHeight="1" x14ac:dyDescent="0.2">
      <c r="A32" s="11" t="s">
        <v>1113</v>
      </c>
      <c r="B32" s="11" t="s">
        <v>764</v>
      </c>
      <c r="C32" s="11" t="s">
        <v>765</v>
      </c>
      <c r="D32" s="11" t="s">
        <v>759</v>
      </c>
      <c r="E32" s="11" t="s">
        <v>1114</v>
      </c>
      <c r="F32" s="11" t="s">
        <v>1037</v>
      </c>
      <c r="G32" s="11" t="s">
        <v>1066</v>
      </c>
      <c r="H32" s="11" t="s">
        <v>1097</v>
      </c>
      <c r="I32" s="11">
        <v>4</v>
      </c>
      <c r="J32" s="11">
        <v>102</v>
      </c>
      <c r="K32" s="11" t="s">
        <v>1098</v>
      </c>
      <c r="L32" s="11" t="s">
        <v>1102</v>
      </c>
      <c r="M32" s="11">
        <v>30</v>
      </c>
      <c r="N32" s="11">
        <v>10</v>
      </c>
      <c r="O32" s="11" t="s">
        <v>290</v>
      </c>
      <c r="P32" s="11" t="s">
        <v>1097</v>
      </c>
      <c r="Q32" s="11" t="s">
        <v>1115</v>
      </c>
      <c r="R32" s="11"/>
      <c r="S32" s="11">
        <v>60</v>
      </c>
      <c r="T32" s="11" t="s">
        <v>57</v>
      </c>
    </row>
    <row r="33" spans="1:20" ht="15" customHeight="1" x14ac:dyDescent="0.2">
      <c r="A33" s="11" t="s">
        <v>1116</v>
      </c>
      <c r="B33" s="11" t="s">
        <v>760</v>
      </c>
      <c r="C33" s="11" t="s">
        <v>761</v>
      </c>
      <c r="D33" s="11" t="s">
        <v>759</v>
      </c>
      <c r="E33" s="11" t="s">
        <v>1117</v>
      </c>
      <c r="F33" s="11" t="s">
        <v>1037</v>
      </c>
      <c r="G33" s="11" t="s">
        <v>1047</v>
      </c>
      <c r="H33" s="11" t="s">
        <v>1097</v>
      </c>
      <c r="I33" s="11">
        <v>3</v>
      </c>
      <c r="J33" s="11">
        <v>107</v>
      </c>
      <c r="K33" s="11" t="s">
        <v>1098</v>
      </c>
      <c r="L33" s="11" t="s">
        <v>1052</v>
      </c>
      <c r="M33" s="11">
        <v>85</v>
      </c>
      <c r="N33" s="11">
        <v>40</v>
      </c>
      <c r="O33" s="11" t="s">
        <v>290</v>
      </c>
      <c r="P33" s="11" t="s">
        <v>290</v>
      </c>
      <c r="Q33" s="11" t="s">
        <v>1118</v>
      </c>
      <c r="R33" s="11"/>
      <c r="S33" s="11">
        <v>10</v>
      </c>
      <c r="T33" s="11" t="s">
        <v>57</v>
      </c>
    </row>
    <row r="34" spans="1:20" ht="15" customHeight="1" x14ac:dyDescent="0.2">
      <c r="A34" s="11" t="s">
        <v>1119</v>
      </c>
      <c r="B34" s="11" t="s">
        <v>760</v>
      </c>
      <c r="C34" s="11" t="s">
        <v>761</v>
      </c>
      <c r="D34" s="11" t="s">
        <v>759</v>
      </c>
      <c r="E34" s="11" t="s">
        <v>1086</v>
      </c>
      <c r="F34" s="11" t="s">
        <v>1037</v>
      </c>
      <c r="G34" s="11" t="s">
        <v>1055</v>
      </c>
      <c r="H34" s="11" t="s">
        <v>1097</v>
      </c>
      <c r="I34" s="11">
        <v>5</v>
      </c>
      <c r="J34" s="11"/>
      <c r="K34" s="11" t="s">
        <v>1098</v>
      </c>
      <c r="L34" s="11" t="s">
        <v>1120</v>
      </c>
      <c r="M34" s="11">
        <v>60</v>
      </c>
      <c r="N34" s="11">
        <v>25</v>
      </c>
      <c r="O34" s="11" t="s">
        <v>290</v>
      </c>
      <c r="P34" s="11" t="s">
        <v>290</v>
      </c>
      <c r="Q34" s="11" t="s">
        <v>1109</v>
      </c>
      <c r="R34" s="11"/>
      <c r="S34" s="11">
        <v>20</v>
      </c>
      <c r="T34" s="11" t="s">
        <v>57</v>
      </c>
    </row>
    <row r="35" spans="1:20" ht="15" customHeight="1" x14ac:dyDescent="0.2">
      <c r="A35" s="11" t="s">
        <v>1121</v>
      </c>
      <c r="B35" s="11" t="s">
        <v>760</v>
      </c>
      <c r="C35" s="11" t="s">
        <v>761</v>
      </c>
      <c r="D35" s="11" t="s">
        <v>759</v>
      </c>
      <c r="E35" s="11" t="s">
        <v>1122</v>
      </c>
      <c r="F35" s="11" t="s">
        <v>1037</v>
      </c>
      <c r="G35" s="11" t="s">
        <v>1055</v>
      </c>
      <c r="H35" s="11" t="s">
        <v>1097</v>
      </c>
      <c r="I35" s="11">
        <v>5</v>
      </c>
      <c r="J35" s="11"/>
      <c r="K35" s="11" t="s">
        <v>1098</v>
      </c>
      <c r="L35" s="11" t="s">
        <v>1120</v>
      </c>
      <c r="M35" s="11">
        <v>55</v>
      </c>
      <c r="N35" s="11">
        <v>20</v>
      </c>
      <c r="O35" s="11" t="s">
        <v>290</v>
      </c>
      <c r="P35" s="11" t="s">
        <v>290</v>
      </c>
      <c r="Q35" s="11" t="s">
        <v>1123</v>
      </c>
      <c r="R35" s="11"/>
      <c r="S35" s="11">
        <v>30</v>
      </c>
      <c r="T35" s="11" t="s">
        <v>57</v>
      </c>
    </row>
    <row r="36" spans="1:20" ht="15" customHeight="1" x14ac:dyDescent="0.2">
      <c r="A36" s="11" t="s">
        <v>1124</v>
      </c>
      <c r="B36" s="11" t="s">
        <v>760</v>
      </c>
      <c r="C36" s="11" t="s">
        <v>761</v>
      </c>
      <c r="D36" s="11" t="s">
        <v>759</v>
      </c>
      <c r="E36" s="11" t="s">
        <v>1125</v>
      </c>
      <c r="F36" s="11" t="s">
        <v>1037</v>
      </c>
      <c r="G36" s="11" t="s">
        <v>1066</v>
      </c>
      <c r="H36" s="11" t="s">
        <v>290</v>
      </c>
      <c r="I36" s="11">
        <v>5</v>
      </c>
      <c r="J36" s="11">
        <v>102</v>
      </c>
      <c r="K36" s="11" t="s">
        <v>1098</v>
      </c>
      <c r="L36" s="11" t="s">
        <v>1120</v>
      </c>
      <c r="M36" s="11">
        <v>65</v>
      </c>
      <c r="N36" s="11">
        <v>30</v>
      </c>
      <c r="O36" s="11" t="s">
        <v>290</v>
      </c>
      <c r="P36" s="11" t="s">
        <v>290</v>
      </c>
      <c r="Q36" s="11" t="s">
        <v>1126</v>
      </c>
      <c r="R36" s="11"/>
      <c r="S36" s="11">
        <v>40</v>
      </c>
      <c r="T36" s="11" t="s">
        <v>57</v>
      </c>
    </row>
    <row r="37" spans="1:20" ht="15" customHeight="1" x14ac:dyDescent="0.2">
      <c r="A37" s="11" t="s">
        <v>1127</v>
      </c>
      <c r="B37" s="11" t="s">
        <v>760</v>
      </c>
      <c r="C37" s="11" t="s">
        <v>761</v>
      </c>
      <c r="D37" s="11" t="s">
        <v>759</v>
      </c>
      <c r="E37" s="11" t="s">
        <v>1054</v>
      </c>
      <c r="F37" s="11" t="s">
        <v>1037</v>
      </c>
      <c r="G37" s="11" t="s">
        <v>1038</v>
      </c>
      <c r="H37" s="11" t="s">
        <v>1097</v>
      </c>
      <c r="I37" s="11">
        <v>5</v>
      </c>
      <c r="J37" s="11">
        <v>102</v>
      </c>
      <c r="K37" s="11" t="s">
        <v>1098</v>
      </c>
      <c r="L37" s="11" t="s">
        <v>1102</v>
      </c>
      <c r="M37" s="11">
        <v>45</v>
      </c>
      <c r="N37" s="11">
        <v>20</v>
      </c>
      <c r="O37" s="11" t="s">
        <v>290</v>
      </c>
      <c r="P37" s="11" t="s">
        <v>290</v>
      </c>
      <c r="Q37" s="11" t="s">
        <v>1128</v>
      </c>
      <c r="R37" s="11"/>
      <c r="S37" s="11">
        <v>50</v>
      </c>
      <c r="T37" s="11" t="s">
        <v>57</v>
      </c>
    </row>
    <row r="38" spans="1:20" ht="15" customHeight="1" x14ac:dyDescent="0.2">
      <c r="A38" s="11" t="s">
        <v>1129</v>
      </c>
      <c r="B38" s="11" t="s">
        <v>760</v>
      </c>
      <c r="C38" s="11" t="s">
        <v>761</v>
      </c>
      <c r="D38" s="11" t="s">
        <v>759</v>
      </c>
      <c r="E38" s="11" t="s">
        <v>1130</v>
      </c>
      <c r="F38" s="11" t="s">
        <v>1037</v>
      </c>
      <c r="G38" s="11" t="s">
        <v>1047</v>
      </c>
      <c r="H38" s="11" t="s">
        <v>1097</v>
      </c>
      <c r="I38" s="11">
        <v>5</v>
      </c>
      <c r="J38" s="11">
        <v>112</v>
      </c>
      <c r="K38" s="11" t="s">
        <v>1098</v>
      </c>
      <c r="L38" s="11" t="s">
        <v>1102</v>
      </c>
      <c r="M38" s="11">
        <v>30</v>
      </c>
      <c r="N38" s="11">
        <v>10</v>
      </c>
      <c r="O38" s="11" t="s">
        <v>290</v>
      </c>
      <c r="P38" s="11" t="s">
        <v>290</v>
      </c>
      <c r="Q38" s="11" t="s">
        <v>1099</v>
      </c>
      <c r="R38" s="11"/>
      <c r="S38" s="11">
        <v>60</v>
      </c>
      <c r="T38" s="11" t="s">
        <v>57</v>
      </c>
    </row>
    <row r="39" spans="1:20" ht="15" customHeight="1" x14ac:dyDescent="0.2">
      <c r="A39" s="11" t="s">
        <v>1131</v>
      </c>
      <c r="B39" s="11" t="s">
        <v>760</v>
      </c>
      <c r="C39" s="11" t="s">
        <v>761</v>
      </c>
      <c r="D39" s="11" t="s">
        <v>759</v>
      </c>
      <c r="E39" s="11" t="s">
        <v>1132</v>
      </c>
      <c r="F39" s="11" t="s">
        <v>1037</v>
      </c>
      <c r="G39" s="11" t="s">
        <v>1055</v>
      </c>
      <c r="H39" s="11" t="s">
        <v>1097</v>
      </c>
      <c r="I39" s="11">
        <v>15</v>
      </c>
      <c r="J39" s="11"/>
      <c r="K39" s="11" t="s">
        <v>1098</v>
      </c>
      <c r="L39" s="11" t="s">
        <v>1102</v>
      </c>
      <c r="M39" s="11">
        <v>25</v>
      </c>
      <c r="N39" s="11">
        <v>10</v>
      </c>
      <c r="O39" s="11" t="s">
        <v>290</v>
      </c>
      <c r="P39" s="11" t="s">
        <v>290</v>
      </c>
      <c r="Q39" s="11" t="s">
        <v>1133</v>
      </c>
      <c r="R39" s="11"/>
      <c r="S39" s="11">
        <v>70</v>
      </c>
      <c r="T39" s="11" t="s">
        <v>57</v>
      </c>
    </row>
    <row r="40" spans="1:20" ht="15" customHeight="1" x14ac:dyDescent="0.2">
      <c r="A40" s="11" t="s">
        <v>1134</v>
      </c>
      <c r="B40" s="11" t="s">
        <v>760</v>
      </c>
      <c r="C40" s="11" t="s">
        <v>761</v>
      </c>
      <c r="D40" s="11" t="s">
        <v>759</v>
      </c>
      <c r="E40" s="11" t="s">
        <v>1135</v>
      </c>
      <c r="F40" s="11" t="s">
        <v>1037</v>
      </c>
      <c r="G40" s="11" t="s">
        <v>1055</v>
      </c>
      <c r="H40" s="11" t="s">
        <v>1097</v>
      </c>
      <c r="I40" s="11">
        <v>14</v>
      </c>
      <c r="J40" s="11"/>
      <c r="K40" s="11" t="s">
        <v>1098</v>
      </c>
      <c r="L40" s="11" t="s">
        <v>1102</v>
      </c>
      <c r="M40" s="11">
        <v>20</v>
      </c>
      <c r="N40" s="11">
        <v>10</v>
      </c>
      <c r="O40" s="11" t="s">
        <v>290</v>
      </c>
      <c r="P40" s="11" t="s">
        <v>290</v>
      </c>
      <c r="Q40" s="11" t="s">
        <v>1136</v>
      </c>
      <c r="R40" s="11"/>
      <c r="S40" s="11">
        <v>80</v>
      </c>
      <c r="T40" s="11" t="s">
        <v>57</v>
      </c>
    </row>
    <row r="41" spans="1:20" ht="15" customHeight="1" x14ac:dyDescent="0.2">
      <c r="A41" s="11" t="s">
        <v>1137</v>
      </c>
      <c r="B41" s="11" t="s">
        <v>760</v>
      </c>
      <c r="C41" s="11" t="s">
        <v>761</v>
      </c>
      <c r="D41" s="11" t="s">
        <v>759</v>
      </c>
      <c r="E41" s="11" t="s">
        <v>1138</v>
      </c>
      <c r="F41" s="11" t="s">
        <v>1037</v>
      </c>
      <c r="G41" s="11" t="s">
        <v>1055</v>
      </c>
      <c r="H41" s="11" t="s">
        <v>1097</v>
      </c>
      <c r="I41" s="11">
        <v>5</v>
      </c>
      <c r="J41" s="11"/>
      <c r="K41" s="11" t="s">
        <v>1098</v>
      </c>
      <c r="L41" s="11" t="s">
        <v>1102</v>
      </c>
      <c r="M41" s="11">
        <v>15</v>
      </c>
      <c r="N41" s="11">
        <v>5</v>
      </c>
      <c r="O41" s="11" t="s">
        <v>290</v>
      </c>
      <c r="P41" s="11" t="s">
        <v>290</v>
      </c>
      <c r="Q41" s="11" t="s">
        <v>1139</v>
      </c>
      <c r="R41" s="11"/>
      <c r="S41" s="11">
        <v>90</v>
      </c>
      <c r="T41" s="11" t="s">
        <v>57</v>
      </c>
    </row>
    <row r="42" spans="1:20" ht="15" customHeight="1" x14ac:dyDescent="0.2">
      <c r="A42" s="11" t="s">
        <v>1140</v>
      </c>
      <c r="B42" s="11" t="s">
        <v>760</v>
      </c>
      <c r="C42" s="11" t="s">
        <v>761</v>
      </c>
      <c r="D42" s="11" t="s">
        <v>759</v>
      </c>
      <c r="E42" s="11" t="s">
        <v>1141</v>
      </c>
      <c r="F42" s="11" t="s">
        <v>1037</v>
      </c>
      <c r="G42" s="11" t="s">
        <v>1055</v>
      </c>
      <c r="H42" s="11" t="s">
        <v>1097</v>
      </c>
      <c r="I42" s="11">
        <v>8</v>
      </c>
      <c r="J42" s="11"/>
      <c r="K42" s="11" t="s">
        <v>1098</v>
      </c>
      <c r="L42" s="11" t="s">
        <v>1102</v>
      </c>
      <c r="M42" s="11">
        <v>15</v>
      </c>
      <c r="N42" s="11">
        <v>5</v>
      </c>
      <c r="O42" s="11" t="s">
        <v>290</v>
      </c>
      <c r="P42" s="11" t="s">
        <v>290</v>
      </c>
      <c r="Q42" s="11" t="s">
        <v>1133</v>
      </c>
      <c r="R42" s="11"/>
      <c r="S42" s="11">
        <v>100</v>
      </c>
      <c r="T42" s="11" t="s">
        <v>57</v>
      </c>
    </row>
    <row r="43" spans="1:20" ht="15" customHeight="1" x14ac:dyDescent="0.2">
      <c r="A43" s="11" t="s">
        <v>1142</v>
      </c>
      <c r="B43" s="11" t="s">
        <v>778</v>
      </c>
      <c r="C43" s="11" t="s">
        <v>779</v>
      </c>
      <c r="D43" s="11" t="s">
        <v>759</v>
      </c>
      <c r="E43" s="11" t="s">
        <v>1143</v>
      </c>
      <c r="F43" s="11" t="s">
        <v>1037</v>
      </c>
      <c r="G43" s="11" t="s">
        <v>1066</v>
      </c>
      <c r="H43" s="11" t="s">
        <v>290</v>
      </c>
      <c r="I43" s="11">
        <v>3</v>
      </c>
      <c r="J43" s="11">
        <v>122</v>
      </c>
      <c r="K43" s="11" t="s">
        <v>1144</v>
      </c>
      <c r="L43" s="11" t="s">
        <v>1145</v>
      </c>
      <c r="M43" s="11">
        <v>80</v>
      </c>
      <c r="N43" s="11">
        <v>35</v>
      </c>
      <c r="O43" s="11" t="s">
        <v>290</v>
      </c>
      <c r="P43" s="11" t="s">
        <v>290</v>
      </c>
      <c r="Q43" s="11" t="s">
        <v>1146</v>
      </c>
      <c r="R43" s="11"/>
      <c r="S43" s="11">
        <v>10</v>
      </c>
      <c r="T43" s="11" t="s">
        <v>57</v>
      </c>
    </row>
    <row r="44" spans="1:20" ht="15" customHeight="1" x14ac:dyDescent="0.2">
      <c r="A44" s="11" t="s">
        <v>1147</v>
      </c>
      <c r="B44" s="11" t="s">
        <v>778</v>
      </c>
      <c r="C44" s="11" t="s">
        <v>779</v>
      </c>
      <c r="D44" s="11" t="s">
        <v>759</v>
      </c>
      <c r="E44" s="11" t="s">
        <v>1148</v>
      </c>
      <c r="F44" s="11" t="s">
        <v>1037</v>
      </c>
      <c r="G44" s="11" t="s">
        <v>1066</v>
      </c>
      <c r="H44" s="11" t="s">
        <v>1097</v>
      </c>
      <c r="I44" s="11">
        <v>5</v>
      </c>
      <c r="J44" s="11">
        <v>122</v>
      </c>
      <c r="K44" s="11" t="s">
        <v>1144</v>
      </c>
      <c r="L44" s="11" t="s">
        <v>1145</v>
      </c>
      <c r="M44" s="11">
        <v>90</v>
      </c>
      <c r="N44" s="11">
        <v>45</v>
      </c>
      <c r="O44" s="11" t="s">
        <v>290</v>
      </c>
      <c r="P44" s="11" t="s">
        <v>290</v>
      </c>
      <c r="Q44" s="11" t="s">
        <v>1115</v>
      </c>
      <c r="R44" s="11"/>
      <c r="S44" s="11">
        <v>20</v>
      </c>
      <c r="T44" s="11" t="s">
        <v>57</v>
      </c>
    </row>
    <row r="45" spans="1:20" ht="15" customHeight="1" x14ac:dyDescent="0.2">
      <c r="A45" s="11" t="s">
        <v>1149</v>
      </c>
      <c r="B45" s="11" t="s">
        <v>778</v>
      </c>
      <c r="C45" s="11" t="s">
        <v>779</v>
      </c>
      <c r="D45" s="11" t="s">
        <v>759</v>
      </c>
      <c r="E45" s="11" t="s">
        <v>1150</v>
      </c>
      <c r="F45" s="11" t="s">
        <v>1037</v>
      </c>
      <c r="G45" s="11" t="s">
        <v>1055</v>
      </c>
      <c r="H45" s="11" t="s">
        <v>290</v>
      </c>
      <c r="I45" s="11">
        <v>5</v>
      </c>
      <c r="J45" s="11"/>
      <c r="K45" s="11" t="s">
        <v>1144</v>
      </c>
      <c r="L45" s="11" t="s">
        <v>1145</v>
      </c>
      <c r="M45" s="11">
        <v>40</v>
      </c>
      <c r="N45" s="11">
        <v>15</v>
      </c>
      <c r="O45" s="11" t="s">
        <v>290</v>
      </c>
      <c r="P45" s="11" t="s">
        <v>290</v>
      </c>
      <c r="Q45" s="11" t="s">
        <v>1151</v>
      </c>
      <c r="R45" s="11"/>
      <c r="S45" s="11">
        <v>30</v>
      </c>
      <c r="T45" s="11" t="s">
        <v>57</v>
      </c>
    </row>
    <row r="46" spans="1:20" ht="15" customHeight="1" x14ac:dyDescent="0.2">
      <c r="A46" s="11" t="s">
        <v>1152</v>
      </c>
      <c r="B46" s="11" t="s">
        <v>778</v>
      </c>
      <c r="C46" s="11" t="s">
        <v>779</v>
      </c>
      <c r="D46" s="11" t="s">
        <v>759</v>
      </c>
      <c r="E46" s="11" t="s">
        <v>1153</v>
      </c>
      <c r="F46" s="11" t="s">
        <v>1037</v>
      </c>
      <c r="G46" s="11" t="s">
        <v>1038</v>
      </c>
      <c r="H46" s="11" t="s">
        <v>1097</v>
      </c>
      <c r="I46" s="11">
        <v>5</v>
      </c>
      <c r="J46" s="11">
        <v>107</v>
      </c>
      <c r="K46" s="11" t="s">
        <v>1144</v>
      </c>
      <c r="L46" s="11" t="s">
        <v>1145</v>
      </c>
      <c r="M46" s="11">
        <v>70</v>
      </c>
      <c r="N46" s="11">
        <v>30</v>
      </c>
      <c r="O46" s="11" t="s">
        <v>290</v>
      </c>
      <c r="P46" s="11" t="s">
        <v>290</v>
      </c>
      <c r="Q46" s="11" t="s">
        <v>1154</v>
      </c>
      <c r="R46" s="11"/>
      <c r="S46" s="11">
        <v>40</v>
      </c>
      <c r="T46" s="11" t="s">
        <v>57</v>
      </c>
    </row>
    <row r="47" spans="1:20" ht="15" customHeight="1" x14ac:dyDescent="0.2">
      <c r="A47" s="11" t="s">
        <v>1155</v>
      </c>
      <c r="B47" s="11" t="s">
        <v>778</v>
      </c>
      <c r="C47" s="11" t="s">
        <v>779</v>
      </c>
      <c r="D47" s="11" t="s">
        <v>759</v>
      </c>
      <c r="E47" s="11" t="s">
        <v>1156</v>
      </c>
      <c r="F47" s="11" t="s">
        <v>1037</v>
      </c>
      <c r="G47" s="11" t="s">
        <v>1066</v>
      </c>
      <c r="H47" s="11" t="s">
        <v>290</v>
      </c>
      <c r="I47" s="11">
        <v>3</v>
      </c>
      <c r="J47" s="11">
        <v>107</v>
      </c>
      <c r="K47" s="11" t="s">
        <v>1144</v>
      </c>
      <c r="L47" s="11" t="s">
        <v>1145</v>
      </c>
      <c r="M47" s="11">
        <v>65</v>
      </c>
      <c r="N47" s="11">
        <v>25</v>
      </c>
      <c r="O47" s="11" t="s">
        <v>290</v>
      </c>
      <c r="P47" s="11" t="s">
        <v>290</v>
      </c>
      <c r="Q47" s="11" t="s">
        <v>1157</v>
      </c>
      <c r="R47" s="11"/>
      <c r="S47" s="11">
        <v>50</v>
      </c>
      <c r="T47" s="11" t="s">
        <v>57</v>
      </c>
    </row>
    <row r="48" spans="1:20" ht="15" customHeight="1" x14ac:dyDescent="0.2">
      <c r="A48" s="11" t="s">
        <v>1158</v>
      </c>
      <c r="B48" s="11" t="s">
        <v>778</v>
      </c>
      <c r="C48" s="11" t="s">
        <v>779</v>
      </c>
      <c r="D48" s="11" t="s">
        <v>759</v>
      </c>
      <c r="E48" s="11" t="s">
        <v>1159</v>
      </c>
      <c r="F48" s="11" t="s">
        <v>1037</v>
      </c>
      <c r="G48" s="11" t="s">
        <v>1038</v>
      </c>
      <c r="H48" s="11" t="s">
        <v>290</v>
      </c>
      <c r="I48" s="11">
        <v>3</v>
      </c>
      <c r="J48" s="11">
        <v>102</v>
      </c>
      <c r="K48" s="11" t="s">
        <v>1144</v>
      </c>
      <c r="L48" s="11" t="s">
        <v>1145</v>
      </c>
      <c r="M48" s="11">
        <v>50</v>
      </c>
      <c r="N48" s="11">
        <v>20</v>
      </c>
      <c r="O48" s="11" t="s">
        <v>290</v>
      </c>
      <c r="P48" s="11" t="s">
        <v>290</v>
      </c>
      <c r="Q48" s="11" t="s">
        <v>1160</v>
      </c>
      <c r="R48" s="11"/>
      <c r="S48" s="11">
        <v>60</v>
      </c>
      <c r="T48" s="11" t="s">
        <v>57</v>
      </c>
    </row>
    <row r="49" spans="1:20" ht="15" customHeight="1" x14ac:dyDescent="0.2">
      <c r="A49" s="11" t="s">
        <v>1161</v>
      </c>
      <c r="B49" s="11" t="s">
        <v>778</v>
      </c>
      <c r="C49" s="11" t="s">
        <v>779</v>
      </c>
      <c r="D49" s="11" t="s">
        <v>759</v>
      </c>
      <c r="E49" s="11" t="s">
        <v>1162</v>
      </c>
      <c r="F49" s="11" t="s">
        <v>1037</v>
      </c>
      <c r="G49" s="11" t="s">
        <v>1047</v>
      </c>
      <c r="H49" s="11" t="s">
        <v>1097</v>
      </c>
      <c r="I49" s="11">
        <v>3</v>
      </c>
      <c r="J49" s="11">
        <v>122</v>
      </c>
      <c r="K49" s="11" t="s">
        <v>1144</v>
      </c>
      <c r="L49" s="11" t="s">
        <v>1145</v>
      </c>
      <c r="M49" s="11">
        <v>60</v>
      </c>
      <c r="N49" s="11">
        <v>25</v>
      </c>
      <c r="O49" s="11" t="s">
        <v>290</v>
      </c>
      <c r="P49" s="11" t="s">
        <v>290</v>
      </c>
      <c r="Q49" s="11" t="s">
        <v>1115</v>
      </c>
      <c r="R49" s="11"/>
      <c r="S49" s="11">
        <v>70</v>
      </c>
      <c r="T49" s="11" t="s">
        <v>57</v>
      </c>
    </row>
    <row r="50" spans="1:20" ht="15" customHeight="1" x14ac:dyDescent="0.2">
      <c r="A50" s="11" t="s">
        <v>1163</v>
      </c>
      <c r="B50" s="11" t="s">
        <v>778</v>
      </c>
      <c r="C50" s="11" t="s">
        <v>779</v>
      </c>
      <c r="D50" s="11" t="s">
        <v>759</v>
      </c>
      <c r="E50" s="11" t="s">
        <v>1164</v>
      </c>
      <c r="F50" s="11" t="s">
        <v>1037</v>
      </c>
      <c r="G50" s="11" t="s">
        <v>1066</v>
      </c>
      <c r="H50" s="11" t="s">
        <v>1097</v>
      </c>
      <c r="I50" s="11">
        <v>5</v>
      </c>
      <c r="J50" s="11">
        <v>107</v>
      </c>
      <c r="K50" s="11" t="s">
        <v>1144</v>
      </c>
      <c r="L50" s="11" t="s">
        <v>1145</v>
      </c>
      <c r="M50" s="11">
        <v>55</v>
      </c>
      <c r="N50" s="11">
        <v>20</v>
      </c>
      <c r="O50" s="11" t="s">
        <v>290</v>
      </c>
      <c r="P50" s="11" t="s">
        <v>290</v>
      </c>
      <c r="Q50" s="11" t="s">
        <v>1165</v>
      </c>
      <c r="R50" s="11"/>
      <c r="S50" s="11">
        <v>80</v>
      </c>
      <c r="T50" s="11" t="s">
        <v>57</v>
      </c>
    </row>
    <row r="51" spans="1:20" ht="15" customHeight="1" x14ac:dyDescent="0.2">
      <c r="A51" s="11" t="s">
        <v>1166</v>
      </c>
      <c r="B51" s="11" t="s">
        <v>762</v>
      </c>
      <c r="C51" s="11" t="s">
        <v>763</v>
      </c>
      <c r="D51" s="11" t="s">
        <v>759</v>
      </c>
      <c r="E51" s="11" t="s">
        <v>1080</v>
      </c>
      <c r="F51" s="11" t="s">
        <v>1037</v>
      </c>
      <c r="G51" s="11" t="s">
        <v>1066</v>
      </c>
      <c r="H51" s="11" t="s">
        <v>1097</v>
      </c>
      <c r="I51" s="11">
        <v>18</v>
      </c>
      <c r="J51" s="11">
        <v>102</v>
      </c>
      <c r="K51" s="11" t="s">
        <v>1098</v>
      </c>
      <c r="L51" s="11" t="s">
        <v>1052</v>
      </c>
      <c r="M51" s="11">
        <v>90</v>
      </c>
      <c r="N51" s="11">
        <v>50</v>
      </c>
      <c r="O51" s="11" t="s">
        <v>290</v>
      </c>
      <c r="P51" s="11" t="s">
        <v>290</v>
      </c>
      <c r="Q51" s="11" t="s">
        <v>1165</v>
      </c>
      <c r="R51" s="11"/>
      <c r="S51" s="11">
        <v>10</v>
      </c>
      <c r="T51" s="11" t="s">
        <v>57</v>
      </c>
    </row>
    <row r="52" spans="1:20" ht="15" customHeight="1" x14ac:dyDescent="0.2">
      <c r="A52" s="11" t="s">
        <v>1167</v>
      </c>
      <c r="B52" s="11" t="s">
        <v>762</v>
      </c>
      <c r="C52" s="11" t="s">
        <v>763</v>
      </c>
      <c r="D52" s="11" t="s">
        <v>759</v>
      </c>
      <c r="E52" s="11" t="s">
        <v>1168</v>
      </c>
      <c r="F52" s="11" t="s">
        <v>1037</v>
      </c>
      <c r="G52" s="11" t="s">
        <v>1038</v>
      </c>
      <c r="H52" s="11" t="s">
        <v>290</v>
      </c>
      <c r="I52" s="11">
        <v>2</v>
      </c>
      <c r="J52" s="11">
        <v>97</v>
      </c>
      <c r="K52" s="11" t="s">
        <v>1098</v>
      </c>
      <c r="L52" s="11" t="s">
        <v>1120</v>
      </c>
      <c r="M52" s="11">
        <v>70</v>
      </c>
      <c r="N52" s="11">
        <v>30</v>
      </c>
      <c r="O52" s="11" t="s">
        <v>290</v>
      </c>
      <c r="P52" s="11" t="s">
        <v>290</v>
      </c>
      <c r="Q52" s="11" t="s">
        <v>1157</v>
      </c>
      <c r="R52" s="11"/>
      <c r="S52" s="11">
        <v>20</v>
      </c>
      <c r="T52" s="11" t="s">
        <v>57</v>
      </c>
    </row>
    <row r="53" spans="1:20" ht="15" customHeight="1" x14ac:dyDescent="0.2">
      <c r="A53" s="11" t="s">
        <v>1169</v>
      </c>
      <c r="B53" s="11" t="s">
        <v>762</v>
      </c>
      <c r="C53" s="11" t="s">
        <v>763</v>
      </c>
      <c r="D53" s="11" t="s">
        <v>759</v>
      </c>
      <c r="E53" s="11" t="s">
        <v>1170</v>
      </c>
      <c r="F53" s="11" t="s">
        <v>1037</v>
      </c>
      <c r="G53" s="11" t="s">
        <v>1055</v>
      </c>
      <c r="H53" s="11" t="s">
        <v>1097</v>
      </c>
      <c r="I53" s="11">
        <v>5</v>
      </c>
      <c r="J53" s="11"/>
      <c r="K53" s="11" t="s">
        <v>1098</v>
      </c>
      <c r="L53" s="11" t="s">
        <v>1120</v>
      </c>
      <c r="M53" s="11">
        <v>50</v>
      </c>
      <c r="N53" s="11">
        <v>20</v>
      </c>
      <c r="O53" s="11" t="s">
        <v>290</v>
      </c>
      <c r="P53" s="11" t="s">
        <v>290</v>
      </c>
      <c r="Q53" s="11" t="s">
        <v>1123</v>
      </c>
      <c r="R53" s="11"/>
      <c r="S53" s="11">
        <v>30</v>
      </c>
      <c r="T53" s="11" t="s">
        <v>57</v>
      </c>
    </row>
    <row r="54" spans="1:20" ht="15" customHeight="1" x14ac:dyDescent="0.2">
      <c r="A54" s="11" t="s">
        <v>1171</v>
      </c>
      <c r="B54" s="11" t="s">
        <v>762</v>
      </c>
      <c r="C54" s="11" t="s">
        <v>763</v>
      </c>
      <c r="D54" s="11" t="s">
        <v>759</v>
      </c>
      <c r="E54" s="11" t="s">
        <v>1172</v>
      </c>
      <c r="F54" s="11" t="s">
        <v>1037</v>
      </c>
      <c r="G54" s="11" t="s">
        <v>1047</v>
      </c>
      <c r="H54" s="11" t="s">
        <v>1097</v>
      </c>
      <c r="I54" s="11">
        <v>2</v>
      </c>
      <c r="J54" s="11">
        <v>102</v>
      </c>
      <c r="K54" s="11" t="s">
        <v>1098</v>
      </c>
      <c r="L54" s="11" t="s">
        <v>1120</v>
      </c>
      <c r="M54" s="11">
        <v>55</v>
      </c>
      <c r="N54" s="11">
        <v>25</v>
      </c>
      <c r="O54" s="11" t="s">
        <v>290</v>
      </c>
      <c r="P54" s="11" t="s">
        <v>290</v>
      </c>
      <c r="Q54" s="11" t="s">
        <v>1173</v>
      </c>
      <c r="R54" s="11"/>
      <c r="S54" s="11">
        <v>40</v>
      </c>
      <c r="T54" s="11" t="s">
        <v>57</v>
      </c>
    </row>
    <row r="55" spans="1:20" ht="15" customHeight="1" x14ac:dyDescent="0.2">
      <c r="A55" s="11" t="s">
        <v>1174</v>
      </c>
      <c r="B55" s="11" t="s">
        <v>762</v>
      </c>
      <c r="C55" s="11" t="s">
        <v>763</v>
      </c>
      <c r="D55" s="11" t="s">
        <v>759</v>
      </c>
      <c r="E55" s="11" t="s">
        <v>1175</v>
      </c>
      <c r="F55" s="11" t="s">
        <v>1037</v>
      </c>
      <c r="G55" s="11" t="s">
        <v>1055</v>
      </c>
      <c r="H55" s="11" t="s">
        <v>1097</v>
      </c>
      <c r="I55" s="11">
        <v>7</v>
      </c>
      <c r="J55" s="11"/>
      <c r="K55" s="11" t="s">
        <v>1098</v>
      </c>
      <c r="L55" s="11" t="s">
        <v>1102</v>
      </c>
      <c r="M55" s="11">
        <v>40</v>
      </c>
      <c r="N55" s="11">
        <v>15</v>
      </c>
      <c r="O55" s="11" t="s">
        <v>290</v>
      </c>
      <c r="P55" s="11" t="s">
        <v>290</v>
      </c>
      <c r="Q55" s="11" t="s">
        <v>1176</v>
      </c>
      <c r="R55" s="11"/>
      <c r="S55" s="11">
        <v>50</v>
      </c>
      <c r="T55" s="11" t="s">
        <v>57</v>
      </c>
    </row>
    <row r="56" spans="1:20" ht="15" customHeight="1" x14ac:dyDescent="0.2">
      <c r="A56" s="11" t="s">
        <v>1177</v>
      </c>
      <c r="B56" s="11" t="s">
        <v>762</v>
      </c>
      <c r="C56" s="11" t="s">
        <v>763</v>
      </c>
      <c r="D56" s="11" t="s">
        <v>759</v>
      </c>
      <c r="E56" s="11" t="s">
        <v>1072</v>
      </c>
      <c r="F56" s="11" t="s">
        <v>1037</v>
      </c>
      <c r="G56" s="11" t="s">
        <v>1038</v>
      </c>
      <c r="H56" s="11" t="s">
        <v>1097</v>
      </c>
      <c r="I56" s="11">
        <v>5</v>
      </c>
      <c r="J56" s="11">
        <v>97</v>
      </c>
      <c r="K56" s="11" t="s">
        <v>1098</v>
      </c>
      <c r="L56" s="11" t="s">
        <v>1102</v>
      </c>
      <c r="M56" s="11">
        <v>35</v>
      </c>
      <c r="N56" s="11">
        <v>15</v>
      </c>
      <c r="O56" s="11" t="s">
        <v>290</v>
      </c>
      <c r="P56" s="11" t="s">
        <v>290</v>
      </c>
      <c r="Q56" s="11" t="s">
        <v>1099</v>
      </c>
      <c r="R56" s="11"/>
      <c r="S56" s="11">
        <v>60</v>
      </c>
      <c r="T56" s="11" t="s">
        <v>57</v>
      </c>
    </row>
    <row r="57" spans="1:20" ht="15" customHeight="1" x14ac:dyDescent="0.2">
      <c r="A57" s="11" t="s">
        <v>1178</v>
      </c>
      <c r="B57" s="11" t="s">
        <v>762</v>
      </c>
      <c r="C57" s="11" t="s">
        <v>763</v>
      </c>
      <c r="D57" s="11" t="s">
        <v>759</v>
      </c>
      <c r="E57" s="11" t="s">
        <v>1179</v>
      </c>
      <c r="F57" s="11" t="s">
        <v>1037</v>
      </c>
      <c r="G57" s="11" t="s">
        <v>1047</v>
      </c>
      <c r="H57" s="11" t="s">
        <v>1097</v>
      </c>
      <c r="I57" s="11">
        <v>1</v>
      </c>
      <c r="J57" s="11">
        <v>122</v>
      </c>
      <c r="K57" s="11" t="s">
        <v>1098</v>
      </c>
      <c r="L57" s="11" t="s">
        <v>1120</v>
      </c>
      <c r="M57" s="11">
        <v>60</v>
      </c>
      <c r="N57" s="11">
        <v>25</v>
      </c>
      <c r="O57" s="11" t="s">
        <v>290</v>
      </c>
      <c r="P57" s="11" t="s">
        <v>290</v>
      </c>
      <c r="Q57" s="11" t="s">
        <v>1118</v>
      </c>
      <c r="R57" s="11"/>
      <c r="S57" s="11">
        <v>70</v>
      </c>
      <c r="T57" s="11" t="s">
        <v>57</v>
      </c>
    </row>
    <row r="58" spans="1:20" ht="15" customHeight="1" x14ac:dyDescent="0.2">
      <c r="A58" s="11" t="s">
        <v>1180</v>
      </c>
      <c r="B58" s="11" t="s">
        <v>762</v>
      </c>
      <c r="C58" s="11" t="s">
        <v>763</v>
      </c>
      <c r="D58" s="11" t="s">
        <v>759</v>
      </c>
      <c r="E58" s="11" t="s">
        <v>1181</v>
      </c>
      <c r="F58" s="11" t="s">
        <v>1037</v>
      </c>
      <c r="G58" s="11" t="s">
        <v>1055</v>
      </c>
      <c r="H58" s="11" t="s">
        <v>1097</v>
      </c>
      <c r="I58" s="11">
        <v>2</v>
      </c>
      <c r="J58" s="11">
        <v>81</v>
      </c>
      <c r="K58" s="11" t="s">
        <v>1098</v>
      </c>
      <c r="L58" s="11" t="s">
        <v>1102</v>
      </c>
      <c r="M58" s="11">
        <v>25</v>
      </c>
      <c r="N58" s="11">
        <v>10</v>
      </c>
      <c r="O58" s="11" t="s">
        <v>290</v>
      </c>
      <c r="P58" s="11" t="s">
        <v>290</v>
      </c>
      <c r="Q58" s="11" t="s">
        <v>1182</v>
      </c>
      <c r="R58" s="11"/>
      <c r="S58" s="11">
        <v>80</v>
      </c>
      <c r="T58" s="11" t="s">
        <v>57</v>
      </c>
    </row>
    <row r="59" spans="1:20" ht="15" customHeight="1" x14ac:dyDescent="0.2">
      <c r="A59" s="11" t="s">
        <v>1183</v>
      </c>
      <c r="B59" s="11" t="s">
        <v>776</v>
      </c>
      <c r="C59" s="11" t="s">
        <v>777</v>
      </c>
      <c r="D59" s="11" t="s">
        <v>759</v>
      </c>
      <c r="E59" s="11" t="s">
        <v>1184</v>
      </c>
      <c r="F59" s="11" t="s">
        <v>1037</v>
      </c>
      <c r="G59" s="11" t="s">
        <v>1047</v>
      </c>
      <c r="H59" s="11" t="s">
        <v>290</v>
      </c>
      <c r="I59" s="11">
        <v>3</v>
      </c>
      <c r="J59" s="11">
        <v>130</v>
      </c>
      <c r="K59" s="11" t="s">
        <v>1144</v>
      </c>
      <c r="L59" s="11" t="s">
        <v>1145</v>
      </c>
      <c r="M59" s="11">
        <v>70</v>
      </c>
      <c r="N59" s="11">
        <v>30</v>
      </c>
      <c r="O59" s="11" t="s">
        <v>290</v>
      </c>
      <c r="P59" s="11" t="s">
        <v>290</v>
      </c>
      <c r="Q59" s="11" t="s">
        <v>1103</v>
      </c>
      <c r="R59" s="11"/>
      <c r="S59" s="11">
        <v>10</v>
      </c>
      <c r="T59" s="11" t="s">
        <v>57</v>
      </c>
    </row>
    <row r="60" spans="1:20" ht="15" customHeight="1" x14ac:dyDescent="0.2">
      <c r="A60" s="11" t="s">
        <v>1185</v>
      </c>
      <c r="B60" s="11" t="s">
        <v>776</v>
      </c>
      <c r="C60" s="11" t="s">
        <v>777</v>
      </c>
      <c r="D60" s="11" t="s">
        <v>759</v>
      </c>
      <c r="E60" s="11" t="s">
        <v>1186</v>
      </c>
      <c r="F60" s="11" t="s">
        <v>1037</v>
      </c>
      <c r="G60" s="11" t="s">
        <v>1066</v>
      </c>
      <c r="H60" s="11" t="s">
        <v>1097</v>
      </c>
      <c r="I60" s="11">
        <v>5</v>
      </c>
      <c r="J60" s="11">
        <v>122</v>
      </c>
      <c r="K60" s="11" t="s">
        <v>1144</v>
      </c>
      <c r="L60" s="11" t="s">
        <v>1145</v>
      </c>
      <c r="M60" s="11">
        <v>55</v>
      </c>
      <c r="N60" s="11">
        <v>20</v>
      </c>
      <c r="O60" s="11" t="s">
        <v>290</v>
      </c>
      <c r="P60" s="11" t="s">
        <v>290</v>
      </c>
      <c r="Q60" s="11" t="s">
        <v>1187</v>
      </c>
      <c r="R60" s="11"/>
      <c r="S60" s="11">
        <v>20</v>
      </c>
      <c r="T60" s="11" t="s">
        <v>57</v>
      </c>
    </row>
    <row r="61" spans="1:20" ht="15" customHeight="1" x14ac:dyDescent="0.2">
      <c r="A61" s="11" t="s">
        <v>1188</v>
      </c>
      <c r="B61" s="11" t="s">
        <v>776</v>
      </c>
      <c r="C61" s="11" t="s">
        <v>777</v>
      </c>
      <c r="D61" s="11" t="s">
        <v>759</v>
      </c>
      <c r="E61" s="11" t="s">
        <v>1189</v>
      </c>
      <c r="F61" s="11" t="s">
        <v>1037</v>
      </c>
      <c r="G61" s="11" t="s">
        <v>1047</v>
      </c>
      <c r="H61" s="11" t="s">
        <v>290</v>
      </c>
      <c r="I61" s="11">
        <v>2</v>
      </c>
      <c r="J61" s="11">
        <v>137</v>
      </c>
      <c r="K61" s="11" t="s">
        <v>1144</v>
      </c>
      <c r="L61" s="11" t="s">
        <v>1145</v>
      </c>
      <c r="M61" s="11">
        <v>45</v>
      </c>
      <c r="N61" s="11">
        <v>15</v>
      </c>
      <c r="O61" s="11" t="s">
        <v>290</v>
      </c>
      <c r="P61" s="11" t="s">
        <v>290</v>
      </c>
      <c r="Q61" s="11" t="s">
        <v>1103</v>
      </c>
      <c r="R61" s="11"/>
      <c r="S61" s="11">
        <v>30</v>
      </c>
      <c r="T61" s="11" t="s">
        <v>57</v>
      </c>
    </row>
    <row r="62" spans="1:20" ht="15" customHeight="1" x14ac:dyDescent="0.2">
      <c r="A62" s="11" t="s">
        <v>1190</v>
      </c>
      <c r="B62" s="11" t="s">
        <v>776</v>
      </c>
      <c r="C62" s="11" t="s">
        <v>777</v>
      </c>
      <c r="D62" s="11" t="s">
        <v>759</v>
      </c>
      <c r="E62" s="11" t="s">
        <v>1191</v>
      </c>
      <c r="F62" s="11" t="s">
        <v>1037</v>
      </c>
      <c r="G62" s="11" t="s">
        <v>1066</v>
      </c>
      <c r="H62" s="11" t="s">
        <v>290</v>
      </c>
      <c r="I62" s="11">
        <v>5</v>
      </c>
      <c r="J62" s="11">
        <v>112</v>
      </c>
      <c r="K62" s="11" t="s">
        <v>1144</v>
      </c>
      <c r="L62" s="11" t="s">
        <v>1145</v>
      </c>
      <c r="M62" s="11">
        <v>35</v>
      </c>
      <c r="N62" s="11">
        <v>15</v>
      </c>
      <c r="O62" s="11" t="s">
        <v>290</v>
      </c>
      <c r="P62" s="11" t="s">
        <v>290</v>
      </c>
      <c r="Q62" s="11" t="s">
        <v>1112</v>
      </c>
      <c r="R62" s="11"/>
      <c r="S62" s="11">
        <v>40</v>
      </c>
      <c r="T62" s="11" t="s">
        <v>57</v>
      </c>
    </row>
    <row r="63" spans="1:20" ht="15" customHeight="1" x14ac:dyDescent="0.2">
      <c r="A63" s="11" t="s">
        <v>1192</v>
      </c>
      <c r="B63" s="11" t="s">
        <v>776</v>
      </c>
      <c r="C63" s="11" t="s">
        <v>777</v>
      </c>
      <c r="D63" s="11" t="s">
        <v>759</v>
      </c>
      <c r="E63" s="11" t="s">
        <v>1193</v>
      </c>
      <c r="F63" s="11" t="s">
        <v>1037</v>
      </c>
      <c r="G63" s="11" t="s">
        <v>1038</v>
      </c>
      <c r="H63" s="11" t="s">
        <v>1097</v>
      </c>
      <c r="I63" s="11">
        <v>5</v>
      </c>
      <c r="J63" s="11">
        <v>102</v>
      </c>
      <c r="K63" s="11" t="s">
        <v>1144</v>
      </c>
      <c r="L63" s="11" t="s">
        <v>1145</v>
      </c>
      <c r="M63" s="11">
        <v>30</v>
      </c>
      <c r="N63" s="11">
        <v>10</v>
      </c>
      <c r="O63" s="11" t="s">
        <v>290</v>
      </c>
      <c r="P63" s="11" t="s">
        <v>290</v>
      </c>
      <c r="Q63" s="11" t="s">
        <v>1194</v>
      </c>
      <c r="R63" s="11"/>
      <c r="S63" s="11">
        <v>50</v>
      </c>
      <c r="T63" s="11" t="s">
        <v>57</v>
      </c>
    </row>
    <row r="64" spans="1:20" ht="15" customHeight="1" x14ac:dyDescent="0.2">
      <c r="A64" s="11" t="s">
        <v>1195</v>
      </c>
      <c r="B64" s="11" t="s">
        <v>776</v>
      </c>
      <c r="C64" s="11" t="s">
        <v>777</v>
      </c>
      <c r="D64" s="11" t="s">
        <v>759</v>
      </c>
      <c r="E64" s="11" t="s">
        <v>1196</v>
      </c>
      <c r="F64" s="11" t="s">
        <v>1037</v>
      </c>
      <c r="G64" s="11" t="s">
        <v>1055</v>
      </c>
      <c r="H64" s="11" t="s">
        <v>290</v>
      </c>
      <c r="I64" s="11">
        <v>1</v>
      </c>
      <c r="J64" s="11">
        <v>91</v>
      </c>
      <c r="K64" s="11" t="s">
        <v>1144</v>
      </c>
      <c r="L64" s="11" t="s">
        <v>1145</v>
      </c>
      <c r="M64" s="11">
        <v>30</v>
      </c>
      <c r="N64" s="11">
        <v>10</v>
      </c>
      <c r="O64" s="11" t="s">
        <v>290</v>
      </c>
      <c r="P64" s="11" t="s">
        <v>290</v>
      </c>
      <c r="Q64" s="11" t="s">
        <v>1157</v>
      </c>
      <c r="R64" s="11"/>
      <c r="S64" s="11">
        <v>60</v>
      </c>
      <c r="T64" s="11" t="s">
        <v>57</v>
      </c>
    </row>
    <row r="65" spans="1:20" ht="15" customHeight="1" x14ac:dyDescent="0.2">
      <c r="A65" s="11" t="s">
        <v>1197</v>
      </c>
      <c r="B65" s="11" t="s">
        <v>776</v>
      </c>
      <c r="C65" s="11" t="s">
        <v>777</v>
      </c>
      <c r="D65" s="11" t="s">
        <v>759</v>
      </c>
      <c r="E65" s="11" t="s">
        <v>1198</v>
      </c>
      <c r="F65" s="11" t="s">
        <v>1037</v>
      </c>
      <c r="G65" s="11" t="s">
        <v>1038</v>
      </c>
      <c r="H65" s="11" t="s">
        <v>290</v>
      </c>
      <c r="I65" s="11">
        <v>5</v>
      </c>
      <c r="J65" s="11">
        <v>107</v>
      </c>
      <c r="K65" s="11" t="s">
        <v>1144</v>
      </c>
      <c r="L65" s="11" t="s">
        <v>1145</v>
      </c>
      <c r="M65" s="11">
        <v>25</v>
      </c>
      <c r="N65" s="11">
        <v>10</v>
      </c>
      <c r="O65" s="11" t="s">
        <v>290</v>
      </c>
      <c r="P65" s="11" t="s">
        <v>290</v>
      </c>
      <c r="Q65" s="11" t="s">
        <v>1112</v>
      </c>
      <c r="R65" s="11"/>
      <c r="S65" s="11">
        <v>70</v>
      </c>
      <c r="T65" s="11" t="s">
        <v>57</v>
      </c>
    </row>
    <row r="66" spans="1:20" ht="15" customHeight="1" x14ac:dyDescent="0.2">
      <c r="A66" s="11" t="s">
        <v>1199</v>
      </c>
      <c r="B66" s="11" t="s">
        <v>757</v>
      </c>
      <c r="C66" s="11" t="s">
        <v>758</v>
      </c>
      <c r="D66" s="11" t="s">
        <v>759</v>
      </c>
      <c r="E66" s="11" t="s">
        <v>1200</v>
      </c>
      <c r="F66" s="11" t="s">
        <v>1037</v>
      </c>
      <c r="G66" s="11" t="s">
        <v>1047</v>
      </c>
      <c r="H66" s="11" t="s">
        <v>290</v>
      </c>
      <c r="I66" s="11">
        <v>2</v>
      </c>
      <c r="J66" s="11">
        <v>122</v>
      </c>
      <c r="K66" s="11" t="s">
        <v>1098</v>
      </c>
      <c r="L66" s="11" t="s">
        <v>1052</v>
      </c>
      <c r="M66" s="11">
        <v>90</v>
      </c>
      <c r="N66" s="11">
        <v>45</v>
      </c>
      <c r="O66" s="11" t="s">
        <v>290</v>
      </c>
      <c r="P66" s="11" t="s">
        <v>290</v>
      </c>
      <c r="Q66" s="11" t="s">
        <v>1103</v>
      </c>
      <c r="R66" s="11"/>
      <c r="S66" s="11">
        <v>10</v>
      </c>
      <c r="T66" s="11" t="s">
        <v>57</v>
      </c>
    </row>
    <row r="67" spans="1:20" ht="15" customHeight="1" x14ac:dyDescent="0.2">
      <c r="A67" s="11" t="s">
        <v>1201</v>
      </c>
      <c r="B67" s="11" t="s">
        <v>757</v>
      </c>
      <c r="C67" s="11" t="s">
        <v>758</v>
      </c>
      <c r="D67" s="11" t="s">
        <v>759</v>
      </c>
      <c r="E67" s="11" t="s">
        <v>1202</v>
      </c>
      <c r="F67" s="11" t="s">
        <v>1037</v>
      </c>
      <c r="G67" s="11" t="s">
        <v>1038</v>
      </c>
      <c r="H67" s="11" t="s">
        <v>290</v>
      </c>
      <c r="I67" s="11">
        <v>3</v>
      </c>
      <c r="J67" s="11">
        <v>97</v>
      </c>
      <c r="K67" s="11" t="s">
        <v>1098</v>
      </c>
      <c r="L67" s="11" t="s">
        <v>1052</v>
      </c>
      <c r="M67" s="11">
        <v>80</v>
      </c>
      <c r="N67" s="11">
        <v>40</v>
      </c>
      <c r="O67" s="11" t="s">
        <v>290</v>
      </c>
      <c r="P67" s="11" t="s">
        <v>290</v>
      </c>
      <c r="Q67" s="11" t="s">
        <v>1203</v>
      </c>
      <c r="R67" s="11"/>
      <c r="S67" s="11">
        <v>20</v>
      </c>
      <c r="T67" s="11" t="s">
        <v>57</v>
      </c>
    </row>
    <row r="68" spans="1:20" ht="15" customHeight="1" x14ac:dyDescent="0.2">
      <c r="A68" s="11" t="s">
        <v>1204</v>
      </c>
      <c r="B68" s="11" t="s">
        <v>757</v>
      </c>
      <c r="C68" s="11" t="s">
        <v>758</v>
      </c>
      <c r="D68" s="11" t="s">
        <v>759</v>
      </c>
      <c r="E68" s="11" t="s">
        <v>1205</v>
      </c>
      <c r="F68" s="11" t="s">
        <v>1037</v>
      </c>
      <c r="G68" s="11" t="s">
        <v>1038</v>
      </c>
      <c r="H68" s="11" t="s">
        <v>1097</v>
      </c>
      <c r="I68" s="11">
        <v>8</v>
      </c>
      <c r="J68" s="11">
        <v>102</v>
      </c>
      <c r="K68" s="11" t="s">
        <v>1098</v>
      </c>
      <c r="L68" s="11" t="s">
        <v>1120</v>
      </c>
      <c r="M68" s="11">
        <v>70</v>
      </c>
      <c r="N68" s="11">
        <v>35</v>
      </c>
      <c r="O68" s="11" t="s">
        <v>290</v>
      </c>
      <c r="P68" s="11" t="s">
        <v>290</v>
      </c>
      <c r="Q68" s="11" t="s">
        <v>1206</v>
      </c>
      <c r="R68" s="11"/>
      <c r="S68" s="11">
        <v>30</v>
      </c>
      <c r="T68" s="11" t="s">
        <v>57</v>
      </c>
    </row>
    <row r="69" spans="1:20" ht="15" customHeight="1" x14ac:dyDescent="0.2">
      <c r="A69" s="11" t="s">
        <v>1207</v>
      </c>
      <c r="B69" s="11" t="s">
        <v>757</v>
      </c>
      <c r="C69" s="11" t="s">
        <v>758</v>
      </c>
      <c r="D69" s="11" t="s">
        <v>759</v>
      </c>
      <c r="E69" s="11" t="s">
        <v>1061</v>
      </c>
      <c r="F69" s="11" t="s">
        <v>1037</v>
      </c>
      <c r="G69" s="11" t="s">
        <v>1066</v>
      </c>
      <c r="H69" s="11" t="s">
        <v>290</v>
      </c>
      <c r="I69" s="11">
        <v>4</v>
      </c>
      <c r="J69" s="11">
        <v>97</v>
      </c>
      <c r="K69" s="11" t="s">
        <v>1098</v>
      </c>
      <c r="L69" s="11" t="s">
        <v>1120</v>
      </c>
      <c r="M69" s="11">
        <v>60</v>
      </c>
      <c r="N69" s="11">
        <v>25</v>
      </c>
      <c r="O69" s="11" t="s">
        <v>290</v>
      </c>
      <c r="P69" s="11" t="s">
        <v>290</v>
      </c>
      <c r="Q69" s="11" t="s">
        <v>1157</v>
      </c>
      <c r="R69" s="11"/>
      <c r="S69" s="11">
        <v>40</v>
      </c>
      <c r="T69" s="11" t="s">
        <v>57</v>
      </c>
    </row>
    <row r="70" spans="1:20" ht="15" customHeight="1" x14ac:dyDescent="0.2">
      <c r="A70" s="11" t="s">
        <v>1208</v>
      </c>
      <c r="B70" s="11" t="s">
        <v>757</v>
      </c>
      <c r="C70" s="11" t="s">
        <v>758</v>
      </c>
      <c r="D70" s="11" t="s">
        <v>759</v>
      </c>
      <c r="E70" s="11" t="s">
        <v>1209</v>
      </c>
      <c r="F70" s="11" t="s">
        <v>1037</v>
      </c>
      <c r="G70" s="11" t="s">
        <v>1055</v>
      </c>
      <c r="H70" s="11" t="s">
        <v>290</v>
      </c>
      <c r="I70" s="11">
        <v>10</v>
      </c>
      <c r="J70" s="11"/>
      <c r="K70" s="11" t="s">
        <v>1098</v>
      </c>
      <c r="L70" s="11" t="s">
        <v>1120</v>
      </c>
      <c r="M70" s="11">
        <v>55</v>
      </c>
      <c r="N70" s="11">
        <v>20</v>
      </c>
      <c r="O70" s="11" t="s">
        <v>290</v>
      </c>
      <c r="P70" s="11" t="s">
        <v>290</v>
      </c>
      <c r="Q70" s="11" t="s">
        <v>1210</v>
      </c>
      <c r="R70" s="11"/>
      <c r="S70" s="11">
        <v>50</v>
      </c>
      <c r="T70" s="11" t="s">
        <v>57</v>
      </c>
    </row>
    <row r="71" spans="1:20" ht="15" customHeight="1" x14ac:dyDescent="0.2">
      <c r="A71" s="11" t="s">
        <v>1211</v>
      </c>
      <c r="B71" s="11" t="s">
        <v>757</v>
      </c>
      <c r="C71" s="11" t="s">
        <v>758</v>
      </c>
      <c r="D71" s="11" t="s">
        <v>759</v>
      </c>
      <c r="E71" s="11" t="s">
        <v>1074</v>
      </c>
      <c r="F71" s="11" t="s">
        <v>1037</v>
      </c>
      <c r="G71" s="11" t="s">
        <v>1055</v>
      </c>
      <c r="H71" s="11" t="s">
        <v>1097</v>
      </c>
      <c r="I71" s="11">
        <v>3</v>
      </c>
      <c r="J71" s="11"/>
      <c r="K71" s="11" t="s">
        <v>1098</v>
      </c>
      <c r="L71" s="11" t="s">
        <v>1120</v>
      </c>
      <c r="M71" s="11">
        <v>65</v>
      </c>
      <c r="N71" s="11">
        <v>30</v>
      </c>
      <c r="O71" s="11" t="s">
        <v>290</v>
      </c>
      <c r="P71" s="11" t="s">
        <v>290</v>
      </c>
      <c r="Q71" s="11" t="s">
        <v>1133</v>
      </c>
      <c r="R71" s="11"/>
      <c r="S71" s="11">
        <v>60</v>
      </c>
      <c r="T71" s="11" t="s">
        <v>57</v>
      </c>
    </row>
    <row r="72" spans="1:20" ht="15" customHeight="1" x14ac:dyDescent="0.2">
      <c r="A72" s="11" t="s">
        <v>1212</v>
      </c>
      <c r="B72" s="11" t="s">
        <v>757</v>
      </c>
      <c r="C72" s="11" t="s">
        <v>758</v>
      </c>
      <c r="D72" s="11" t="s">
        <v>759</v>
      </c>
      <c r="E72" s="11" t="s">
        <v>1078</v>
      </c>
      <c r="F72" s="11" t="s">
        <v>1037</v>
      </c>
      <c r="G72" s="11" t="s">
        <v>1066</v>
      </c>
      <c r="H72" s="11" t="s">
        <v>1097</v>
      </c>
      <c r="I72" s="11">
        <v>3</v>
      </c>
      <c r="J72" s="11">
        <v>112</v>
      </c>
      <c r="K72" s="11" t="s">
        <v>1098</v>
      </c>
      <c r="L72" s="11" t="s">
        <v>1120</v>
      </c>
      <c r="M72" s="11">
        <v>50</v>
      </c>
      <c r="N72" s="11">
        <v>20</v>
      </c>
      <c r="O72" s="11" t="s">
        <v>290</v>
      </c>
      <c r="P72" s="11" t="s">
        <v>290</v>
      </c>
      <c r="Q72" s="11" t="s">
        <v>1213</v>
      </c>
      <c r="R72" s="11"/>
      <c r="S72" s="11">
        <v>70</v>
      </c>
      <c r="T72" s="11" t="s">
        <v>57</v>
      </c>
    </row>
    <row r="73" spans="1:20" ht="15" customHeight="1" x14ac:dyDescent="0.2">
      <c r="A73" s="11" t="s">
        <v>1214</v>
      </c>
      <c r="B73" s="11" t="s">
        <v>757</v>
      </c>
      <c r="C73" s="11" t="s">
        <v>758</v>
      </c>
      <c r="D73" s="11" t="s">
        <v>759</v>
      </c>
      <c r="E73" s="11" t="s">
        <v>1076</v>
      </c>
      <c r="F73" s="11" t="s">
        <v>1037</v>
      </c>
      <c r="G73" s="11" t="s">
        <v>1055</v>
      </c>
      <c r="H73" s="11" t="s">
        <v>1097</v>
      </c>
      <c r="I73" s="11">
        <v>12</v>
      </c>
      <c r="J73" s="11"/>
      <c r="K73" s="11" t="s">
        <v>1098</v>
      </c>
      <c r="L73" s="11" t="s">
        <v>1102</v>
      </c>
      <c r="M73" s="11">
        <v>30</v>
      </c>
      <c r="N73" s="11">
        <v>10</v>
      </c>
      <c r="O73" s="11" t="s">
        <v>290</v>
      </c>
      <c r="P73" s="11" t="s">
        <v>290</v>
      </c>
      <c r="Q73" s="11" t="s">
        <v>1215</v>
      </c>
      <c r="R73" s="11"/>
      <c r="S73" s="11">
        <v>80</v>
      </c>
      <c r="T73" s="11" t="s">
        <v>57</v>
      </c>
    </row>
    <row r="74" spans="1:20" ht="15" customHeight="1" x14ac:dyDescent="0.2">
      <c r="A74" s="11" t="s">
        <v>1216</v>
      </c>
      <c r="B74" s="11" t="s">
        <v>757</v>
      </c>
      <c r="C74" s="11" t="s">
        <v>758</v>
      </c>
      <c r="D74" s="11" t="s">
        <v>759</v>
      </c>
      <c r="E74" s="11" t="s">
        <v>1063</v>
      </c>
      <c r="F74" s="11" t="s">
        <v>1037</v>
      </c>
      <c r="G74" s="11" t="s">
        <v>1055</v>
      </c>
      <c r="H74" s="11" t="s">
        <v>1097</v>
      </c>
      <c r="I74" s="11">
        <v>10</v>
      </c>
      <c r="J74" s="11"/>
      <c r="K74" s="11" t="s">
        <v>1098</v>
      </c>
      <c r="L74" s="11" t="s">
        <v>1102</v>
      </c>
      <c r="M74" s="11">
        <v>35</v>
      </c>
      <c r="N74" s="11">
        <v>15</v>
      </c>
      <c r="O74" s="11" t="s">
        <v>290</v>
      </c>
      <c r="P74" s="11" t="s">
        <v>290</v>
      </c>
      <c r="Q74" s="11" t="s">
        <v>1133</v>
      </c>
      <c r="R74" s="11"/>
      <c r="S74" s="11">
        <v>90</v>
      </c>
      <c r="T74" s="11" t="s">
        <v>57</v>
      </c>
    </row>
    <row r="75" spans="1:20" ht="15" customHeight="1" x14ac:dyDescent="0.2">
      <c r="A75" s="11" t="s">
        <v>1217</v>
      </c>
      <c r="B75" s="11" t="s">
        <v>757</v>
      </c>
      <c r="C75" s="11" t="s">
        <v>758</v>
      </c>
      <c r="D75" s="11" t="s">
        <v>759</v>
      </c>
      <c r="E75" s="11" t="s">
        <v>1218</v>
      </c>
      <c r="F75" s="11" t="s">
        <v>1037</v>
      </c>
      <c r="G75" s="11" t="s">
        <v>1055</v>
      </c>
      <c r="H75" s="11" t="s">
        <v>1097</v>
      </c>
      <c r="I75" s="11">
        <v>5</v>
      </c>
      <c r="J75" s="11"/>
      <c r="K75" s="11" t="s">
        <v>1098</v>
      </c>
      <c r="L75" s="11" t="s">
        <v>1102</v>
      </c>
      <c r="M75" s="11">
        <v>40</v>
      </c>
      <c r="N75" s="11">
        <v>15</v>
      </c>
      <c r="O75" s="11" t="s">
        <v>290</v>
      </c>
      <c r="P75" s="11" t="s">
        <v>290</v>
      </c>
      <c r="Q75" s="11" t="s">
        <v>1219</v>
      </c>
      <c r="R75" s="11"/>
      <c r="S75" s="11">
        <v>100</v>
      </c>
      <c r="T75" s="11" t="s">
        <v>57</v>
      </c>
    </row>
    <row r="76" spans="1:20" ht="15" customHeight="1" x14ac:dyDescent="0.2">
      <c r="A76" s="11" t="s">
        <v>1220</v>
      </c>
      <c r="B76" s="11" t="s">
        <v>757</v>
      </c>
      <c r="C76" s="11" t="s">
        <v>758</v>
      </c>
      <c r="D76" s="11" t="s">
        <v>759</v>
      </c>
      <c r="E76" s="11" t="s">
        <v>1068</v>
      </c>
      <c r="F76" s="11" t="s">
        <v>1037</v>
      </c>
      <c r="G76" s="11" t="s">
        <v>1055</v>
      </c>
      <c r="H76" s="11" t="s">
        <v>1097</v>
      </c>
      <c r="I76" s="11">
        <v>12</v>
      </c>
      <c r="J76" s="11"/>
      <c r="K76" s="11" t="s">
        <v>1098</v>
      </c>
      <c r="L76" s="11" t="s">
        <v>1102</v>
      </c>
      <c r="M76" s="11">
        <v>20</v>
      </c>
      <c r="N76" s="11">
        <v>10</v>
      </c>
      <c r="O76" s="11" t="s">
        <v>290</v>
      </c>
      <c r="P76" s="11" t="s">
        <v>290</v>
      </c>
      <c r="Q76" s="11" t="s">
        <v>1215</v>
      </c>
      <c r="R76" s="11"/>
      <c r="S76" s="11">
        <v>110</v>
      </c>
      <c r="T76" s="11" t="s">
        <v>57</v>
      </c>
    </row>
    <row r="77" spans="1:20" ht="15" customHeight="1" x14ac:dyDescent="0.2">
      <c r="A77" s="11" t="s">
        <v>1221</v>
      </c>
      <c r="B77" s="11" t="s">
        <v>757</v>
      </c>
      <c r="C77" s="11" t="s">
        <v>758</v>
      </c>
      <c r="D77" s="11" t="s">
        <v>759</v>
      </c>
      <c r="E77" s="11" t="s">
        <v>1222</v>
      </c>
      <c r="F77" s="11" t="s">
        <v>1037</v>
      </c>
      <c r="G77" s="11" t="s">
        <v>1055</v>
      </c>
      <c r="H77" s="11" t="s">
        <v>290</v>
      </c>
      <c r="I77" s="11">
        <v>2</v>
      </c>
      <c r="J77" s="11"/>
      <c r="K77" s="11" t="s">
        <v>1098</v>
      </c>
      <c r="L77" s="11" t="s">
        <v>1102</v>
      </c>
      <c r="M77" s="11">
        <v>25</v>
      </c>
      <c r="N77" s="11">
        <v>10</v>
      </c>
      <c r="O77" s="11" t="s">
        <v>290</v>
      </c>
      <c r="P77" s="11" t="s">
        <v>290</v>
      </c>
      <c r="Q77" s="11" t="s">
        <v>1182</v>
      </c>
      <c r="R77" s="11"/>
      <c r="S77" s="11">
        <v>120</v>
      </c>
      <c r="T77" s="11" t="s">
        <v>57</v>
      </c>
    </row>
    <row r="78" spans="1:20" ht="15" customHeight="1" x14ac:dyDescent="0.2">
      <c r="A78" s="11" t="s">
        <v>1223</v>
      </c>
      <c r="B78" s="11" t="s">
        <v>757</v>
      </c>
      <c r="C78" s="11" t="s">
        <v>758</v>
      </c>
      <c r="D78" s="11" t="s">
        <v>759</v>
      </c>
      <c r="E78" s="11" t="s">
        <v>1224</v>
      </c>
      <c r="F78" s="11" t="s">
        <v>1037</v>
      </c>
      <c r="G78" s="11" t="s">
        <v>1038</v>
      </c>
      <c r="H78" s="11" t="s">
        <v>290</v>
      </c>
      <c r="I78" s="11">
        <v>1</v>
      </c>
      <c r="J78" s="11">
        <v>89</v>
      </c>
      <c r="K78" s="11" t="s">
        <v>1098</v>
      </c>
      <c r="L78" s="11" t="s">
        <v>1102</v>
      </c>
      <c r="M78" s="11">
        <v>20</v>
      </c>
      <c r="N78" s="11">
        <v>10</v>
      </c>
      <c r="O78" s="11" t="s">
        <v>290</v>
      </c>
      <c r="P78" s="11" t="s">
        <v>290</v>
      </c>
      <c r="Q78" s="11" t="s">
        <v>1157</v>
      </c>
      <c r="R78" s="11"/>
      <c r="S78" s="11">
        <v>130</v>
      </c>
      <c r="T78" s="11" t="s">
        <v>57</v>
      </c>
    </row>
    <row r="79" spans="1:20" ht="15" customHeight="1" x14ac:dyDescent="0.2">
      <c r="A79" s="11" t="s">
        <v>1225</v>
      </c>
      <c r="B79" s="11" t="s">
        <v>774</v>
      </c>
      <c r="C79" s="11" t="s">
        <v>775</v>
      </c>
      <c r="D79" s="11" t="s">
        <v>759</v>
      </c>
      <c r="E79" s="11" t="s">
        <v>1226</v>
      </c>
      <c r="F79" s="11" t="s">
        <v>1037</v>
      </c>
      <c r="G79" s="11" t="s">
        <v>1066</v>
      </c>
      <c r="H79" s="11" t="s">
        <v>290</v>
      </c>
      <c r="I79" s="11">
        <v>3</v>
      </c>
      <c r="J79" s="11">
        <v>122</v>
      </c>
      <c r="K79" s="11" t="s">
        <v>1144</v>
      </c>
      <c r="L79" s="11" t="s">
        <v>1145</v>
      </c>
      <c r="M79" s="11">
        <v>90</v>
      </c>
      <c r="N79" s="11">
        <v>40</v>
      </c>
      <c r="O79" s="11" t="s">
        <v>290</v>
      </c>
      <c r="P79" s="11" t="s">
        <v>290</v>
      </c>
      <c r="Q79" s="11" t="s">
        <v>1227</v>
      </c>
      <c r="R79" s="11"/>
      <c r="S79" s="11">
        <v>10</v>
      </c>
      <c r="T79" s="11" t="s">
        <v>57</v>
      </c>
    </row>
    <row r="80" spans="1:20" ht="15" customHeight="1" x14ac:dyDescent="0.2">
      <c r="A80" s="11" t="s">
        <v>1228</v>
      </c>
      <c r="B80" s="11" t="s">
        <v>774</v>
      </c>
      <c r="C80" s="11" t="s">
        <v>775</v>
      </c>
      <c r="D80" s="11" t="s">
        <v>759</v>
      </c>
      <c r="E80" s="11" t="s">
        <v>1229</v>
      </c>
      <c r="F80" s="11" t="s">
        <v>1037</v>
      </c>
      <c r="G80" s="11" t="s">
        <v>1066</v>
      </c>
      <c r="H80" s="11" t="s">
        <v>1097</v>
      </c>
      <c r="I80" s="11">
        <v>3</v>
      </c>
      <c r="J80" s="11">
        <v>122</v>
      </c>
      <c r="K80" s="11" t="s">
        <v>1144</v>
      </c>
      <c r="L80" s="11" t="s">
        <v>1145</v>
      </c>
      <c r="M80" s="11">
        <v>50</v>
      </c>
      <c r="N80" s="11">
        <v>20</v>
      </c>
      <c r="O80" s="11" t="s">
        <v>290</v>
      </c>
      <c r="P80" s="11" t="s">
        <v>290</v>
      </c>
      <c r="Q80" s="11" t="s">
        <v>1230</v>
      </c>
      <c r="R80" s="11"/>
      <c r="S80" s="11">
        <v>20</v>
      </c>
      <c r="T80" s="11" t="s">
        <v>57</v>
      </c>
    </row>
    <row r="81" spans="1:20" ht="15" customHeight="1" x14ac:dyDescent="0.2">
      <c r="A81" s="11" t="s">
        <v>1231</v>
      </c>
      <c r="B81" s="11" t="s">
        <v>774</v>
      </c>
      <c r="C81" s="11" t="s">
        <v>775</v>
      </c>
      <c r="D81" s="11" t="s">
        <v>759</v>
      </c>
      <c r="E81" s="11" t="s">
        <v>1232</v>
      </c>
      <c r="F81" s="11" t="s">
        <v>1037</v>
      </c>
      <c r="G81" s="11" t="s">
        <v>1038</v>
      </c>
      <c r="H81" s="11" t="s">
        <v>1097</v>
      </c>
      <c r="I81" s="11">
        <v>5</v>
      </c>
      <c r="J81" s="11">
        <v>102</v>
      </c>
      <c r="K81" s="11" t="s">
        <v>1144</v>
      </c>
      <c r="L81" s="11" t="s">
        <v>1145</v>
      </c>
      <c r="M81" s="11">
        <v>40</v>
      </c>
      <c r="N81" s="11">
        <v>15</v>
      </c>
      <c r="O81" s="11" t="s">
        <v>290</v>
      </c>
      <c r="P81" s="11" t="s">
        <v>290</v>
      </c>
      <c r="Q81" s="11" t="s">
        <v>1233</v>
      </c>
      <c r="R81" s="11"/>
      <c r="S81" s="11">
        <v>30</v>
      </c>
      <c r="T81" s="11" t="s">
        <v>57</v>
      </c>
    </row>
    <row r="82" spans="1:20" ht="15" customHeight="1" x14ac:dyDescent="0.2">
      <c r="A82" s="11" t="s">
        <v>1234</v>
      </c>
      <c r="B82" s="11" t="s">
        <v>774</v>
      </c>
      <c r="C82" s="11" t="s">
        <v>775</v>
      </c>
      <c r="D82" s="11" t="s">
        <v>759</v>
      </c>
      <c r="E82" s="11" t="s">
        <v>1235</v>
      </c>
      <c r="F82" s="11" t="s">
        <v>1037</v>
      </c>
      <c r="G82" s="11" t="s">
        <v>1055</v>
      </c>
      <c r="H82" s="11" t="s">
        <v>1097</v>
      </c>
      <c r="I82" s="11">
        <v>5</v>
      </c>
      <c r="J82" s="11">
        <v>102</v>
      </c>
      <c r="K82" s="11" t="s">
        <v>1144</v>
      </c>
      <c r="L82" s="11" t="s">
        <v>1145</v>
      </c>
      <c r="M82" s="11">
        <v>45</v>
      </c>
      <c r="N82" s="11">
        <v>20</v>
      </c>
      <c r="O82" s="11" t="s">
        <v>290</v>
      </c>
      <c r="P82" s="11" t="s">
        <v>290</v>
      </c>
      <c r="Q82" s="11" t="s">
        <v>1236</v>
      </c>
      <c r="R82" s="11"/>
      <c r="S82" s="11">
        <v>40</v>
      </c>
      <c r="T82" s="11" t="s">
        <v>57</v>
      </c>
    </row>
    <row r="83" spans="1:20" ht="15" customHeight="1" x14ac:dyDescent="0.2">
      <c r="A83" s="11" t="s">
        <v>1237</v>
      </c>
      <c r="B83" s="11" t="s">
        <v>774</v>
      </c>
      <c r="C83" s="11" t="s">
        <v>775</v>
      </c>
      <c r="D83" s="11" t="s">
        <v>759</v>
      </c>
      <c r="E83" s="11" t="s">
        <v>1238</v>
      </c>
      <c r="F83" s="11" t="s">
        <v>1037</v>
      </c>
      <c r="G83" s="11" t="s">
        <v>1066</v>
      </c>
      <c r="H83" s="11" t="s">
        <v>1097</v>
      </c>
      <c r="I83" s="11">
        <v>5</v>
      </c>
      <c r="J83" s="11">
        <v>107</v>
      </c>
      <c r="K83" s="11" t="s">
        <v>1144</v>
      </c>
      <c r="L83" s="11" t="s">
        <v>1145</v>
      </c>
      <c r="M83" s="11">
        <v>60</v>
      </c>
      <c r="N83" s="11">
        <v>25</v>
      </c>
      <c r="O83" s="11" t="s">
        <v>290</v>
      </c>
      <c r="P83" s="11" t="s">
        <v>290</v>
      </c>
      <c r="Q83" s="11" t="s">
        <v>1239</v>
      </c>
      <c r="R83" s="11"/>
      <c r="S83" s="11">
        <v>50</v>
      </c>
      <c r="T83" s="11" t="s">
        <v>57</v>
      </c>
    </row>
    <row r="84" spans="1:20" ht="15" customHeight="1" x14ac:dyDescent="0.2">
      <c r="A84" s="11" t="s">
        <v>1240</v>
      </c>
      <c r="B84" s="11" t="s">
        <v>774</v>
      </c>
      <c r="C84" s="11" t="s">
        <v>775</v>
      </c>
      <c r="D84" s="11" t="s">
        <v>759</v>
      </c>
      <c r="E84" s="11" t="s">
        <v>1241</v>
      </c>
      <c r="F84" s="11" t="s">
        <v>1037</v>
      </c>
      <c r="G84" s="11" t="s">
        <v>1055</v>
      </c>
      <c r="H84" s="11" t="s">
        <v>1097</v>
      </c>
      <c r="I84" s="11">
        <v>5</v>
      </c>
      <c r="J84" s="11">
        <v>86</v>
      </c>
      <c r="K84" s="11" t="s">
        <v>1144</v>
      </c>
      <c r="L84" s="11" t="s">
        <v>1145</v>
      </c>
      <c r="M84" s="11">
        <v>25</v>
      </c>
      <c r="N84" s="11">
        <v>10</v>
      </c>
      <c r="O84" s="11" t="s">
        <v>290</v>
      </c>
      <c r="P84" s="11" t="s">
        <v>290</v>
      </c>
      <c r="Q84" s="11" t="s">
        <v>1133</v>
      </c>
      <c r="R84" s="11"/>
      <c r="S84" s="11">
        <v>60</v>
      </c>
      <c r="T84" s="11" t="s">
        <v>57</v>
      </c>
    </row>
    <row r="85" spans="1:20" ht="15" customHeight="1" x14ac:dyDescent="0.2">
      <c r="A85" s="11" t="s">
        <v>1242</v>
      </c>
      <c r="B85" s="11" t="s">
        <v>774</v>
      </c>
      <c r="C85" s="11" t="s">
        <v>775</v>
      </c>
      <c r="D85" s="11" t="s">
        <v>759</v>
      </c>
      <c r="E85" s="11" t="s">
        <v>1243</v>
      </c>
      <c r="F85" s="11" t="s">
        <v>1037</v>
      </c>
      <c r="G85" s="11" t="s">
        <v>1038</v>
      </c>
      <c r="H85" s="11" t="s">
        <v>1097</v>
      </c>
      <c r="I85" s="11">
        <v>5</v>
      </c>
      <c r="J85" s="11">
        <v>107</v>
      </c>
      <c r="K85" s="11" t="s">
        <v>1144</v>
      </c>
      <c r="L85" s="11" t="s">
        <v>1145</v>
      </c>
      <c r="M85" s="11">
        <v>30</v>
      </c>
      <c r="N85" s="11">
        <v>10</v>
      </c>
      <c r="O85" s="11" t="s">
        <v>290</v>
      </c>
      <c r="P85" s="11" t="s">
        <v>290</v>
      </c>
      <c r="Q85" s="11" t="s">
        <v>1244</v>
      </c>
      <c r="R85" s="11"/>
      <c r="S85" s="11">
        <v>70</v>
      </c>
      <c r="T85" s="11" t="s">
        <v>57</v>
      </c>
    </row>
    <row r="86" spans="1:20" ht="15" customHeight="1" x14ac:dyDescent="0.2">
      <c r="A86" s="11" t="s">
        <v>1245</v>
      </c>
      <c r="B86" s="11" t="s">
        <v>774</v>
      </c>
      <c r="C86" s="11" t="s">
        <v>775</v>
      </c>
      <c r="D86" s="11" t="s">
        <v>759</v>
      </c>
      <c r="E86" s="11" t="s">
        <v>1246</v>
      </c>
      <c r="F86" s="11" t="s">
        <v>1037</v>
      </c>
      <c r="G86" s="11" t="s">
        <v>1047</v>
      </c>
      <c r="H86" s="11" t="s">
        <v>290</v>
      </c>
      <c r="I86" s="11">
        <v>2</v>
      </c>
      <c r="J86" s="11">
        <v>130</v>
      </c>
      <c r="K86" s="11" t="s">
        <v>1144</v>
      </c>
      <c r="L86" s="11" t="s">
        <v>1145</v>
      </c>
      <c r="M86" s="11">
        <v>50</v>
      </c>
      <c r="N86" s="11">
        <v>20</v>
      </c>
      <c r="O86" s="11" t="s">
        <v>290</v>
      </c>
      <c r="P86" s="11" t="s">
        <v>290</v>
      </c>
      <c r="Q86" s="11" t="s">
        <v>1103</v>
      </c>
      <c r="R86" s="11"/>
      <c r="S86" s="11">
        <v>80</v>
      </c>
      <c r="T86" s="11" t="s">
        <v>57</v>
      </c>
    </row>
    <row r="87" spans="1:20" ht="15" customHeight="1" x14ac:dyDescent="0.2">
      <c r="A87" s="11" t="s">
        <v>1247</v>
      </c>
      <c r="B87" s="11" t="s">
        <v>809</v>
      </c>
      <c r="C87" s="11" t="s">
        <v>810</v>
      </c>
      <c r="D87" s="11" t="s">
        <v>133</v>
      </c>
      <c r="E87" s="11" t="s">
        <v>1248</v>
      </c>
      <c r="F87" s="11" t="s">
        <v>1037</v>
      </c>
      <c r="G87" s="11" t="s">
        <v>1038</v>
      </c>
      <c r="H87" s="11" t="s">
        <v>290</v>
      </c>
      <c r="I87" s="11"/>
      <c r="J87" s="11">
        <v>102</v>
      </c>
      <c r="K87" s="11" t="s">
        <v>1249</v>
      </c>
      <c r="L87" s="11" t="s">
        <v>1249</v>
      </c>
      <c r="M87" s="11">
        <v>50</v>
      </c>
      <c r="N87" s="11"/>
      <c r="O87" s="11" t="s">
        <v>290</v>
      </c>
      <c r="P87" s="11" t="s">
        <v>290</v>
      </c>
      <c r="Q87" s="11"/>
      <c r="R87" s="11"/>
      <c r="S87" s="11">
        <v>0</v>
      </c>
      <c r="T87" s="11" t="s">
        <v>1044</v>
      </c>
    </row>
    <row r="88" spans="1:20" ht="15" customHeight="1" x14ac:dyDescent="0.2">
      <c r="A88" s="11" t="s">
        <v>1250</v>
      </c>
      <c r="B88" s="11" t="s">
        <v>809</v>
      </c>
      <c r="C88" s="11" t="s">
        <v>810</v>
      </c>
      <c r="D88" s="11" t="s">
        <v>133</v>
      </c>
      <c r="E88" s="11" t="s">
        <v>1251</v>
      </c>
      <c r="F88" s="11" t="s">
        <v>1037</v>
      </c>
      <c r="G88" s="11" t="s">
        <v>1055</v>
      </c>
      <c r="H88" s="11" t="s">
        <v>290</v>
      </c>
      <c r="I88" s="11"/>
      <c r="J88" s="11"/>
      <c r="K88" s="11" t="s">
        <v>1249</v>
      </c>
      <c r="L88" s="11" t="s">
        <v>1249</v>
      </c>
      <c r="M88" s="11">
        <v>35</v>
      </c>
      <c r="N88" s="11"/>
      <c r="O88" s="11" t="s">
        <v>290</v>
      </c>
      <c r="P88" s="11" t="s">
        <v>290</v>
      </c>
      <c r="Q88" s="11"/>
      <c r="R88" s="11"/>
      <c r="S88" s="11">
        <v>0</v>
      </c>
      <c r="T88" s="11" t="s">
        <v>1044</v>
      </c>
    </row>
    <row r="89" spans="1:20" ht="15" customHeight="1" x14ac:dyDescent="0.2">
      <c r="A89" s="11" t="s">
        <v>1252</v>
      </c>
      <c r="B89" s="11" t="s">
        <v>809</v>
      </c>
      <c r="C89" s="11" t="s">
        <v>810</v>
      </c>
      <c r="D89" s="11" t="s">
        <v>133</v>
      </c>
      <c r="E89" s="11" t="s">
        <v>1253</v>
      </c>
      <c r="F89" s="11" t="s">
        <v>1037</v>
      </c>
      <c r="G89" s="11" t="s">
        <v>1047</v>
      </c>
      <c r="H89" s="11" t="s">
        <v>290</v>
      </c>
      <c r="I89" s="11"/>
      <c r="J89" s="11">
        <v>140</v>
      </c>
      <c r="K89" s="11"/>
      <c r="L89" s="11"/>
      <c r="M89" s="11">
        <v>35</v>
      </c>
      <c r="N89" s="11"/>
      <c r="O89" s="11" t="s">
        <v>290</v>
      </c>
      <c r="P89" s="11" t="s">
        <v>290</v>
      </c>
      <c r="Q89" s="11"/>
      <c r="R89" s="11"/>
      <c r="S89" s="11">
        <v>0</v>
      </c>
      <c r="T89" s="11" t="s">
        <v>1039</v>
      </c>
    </row>
    <row r="90" spans="1:20" ht="15" customHeight="1" x14ac:dyDescent="0.2">
      <c r="A90" s="11" t="s">
        <v>1254</v>
      </c>
      <c r="B90" s="11" t="s">
        <v>809</v>
      </c>
      <c r="C90" s="11" t="s">
        <v>810</v>
      </c>
      <c r="D90" s="11" t="s">
        <v>133</v>
      </c>
      <c r="E90" s="11" t="s">
        <v>1068</v>
      </c>
      <c r="F90" s="11" t="s">
        <v>1037</v>
      </c>
      <c r="G90" s="11" t="s">
        <v>1055</v>
      </c>
      <c r="H90" s="11" t="s">
        <v>290</v>
      </c>
      <c r="I90" s="11"/>
      <c r="J90" s="11"/>
      <c r="K90" s="11" t="s">
        <v>1249</v>
      </c>
      <c r="L90" s="11" t="s">
        <v>1249</v>
      </c>
      <c r="M90" s="11">
        <v>30</v>
      </c>
      <c r="N90" s="11"/>
      <c r="O90" s="11" t="s">
        <v>290</v>
      </c>
      <c r="P90" s="11" t="s">
        <v>290</v>
      </c>
      <c r="Q90" s="11"/>
      <c r="R90" s="11"/>
      <c r="S90" s="11">
        <v>0</v>
      </c>
      <c r="T90" s="11" t="s">
        <v>1044</v>
      </c>
    </row>
    <row r="91" spans="1:20" ht="15" customHeight="1" x14ac:dyDescent="0.2">
      <c r="A91" s="11" t="s">
        <v>1255</v>
      </c>
      <c r="B91" s="11" t="s">
        <v>809</v>
      </c>
      <c r="C91" s="11" t="s">
        <v>810</v>
      </c>
      <c r="D91" s="11" t="s">
        <v>133</v>
      </c>
      <c r="E91" s="11" t="s">
        <v>1074</v>
      </c>
      <c r="F91" s="11" t="s">
        <v>1037</v>
      </c>
      <c r="G91" s="11" t="s">
        <v>1055</v>
      </c>
      <c r="H91" s="11" t="s">
        <v>290</v>
      </c>
      <c r="I91" s="11"/>
      <c r="J91" s="11"/>
      <c r="K91" s="11" t="s">
        <v>1249</v>
      </c>
      <c r="L91" s="11" t="s">
        <v>1249</v>
      </c>
      <c r="M91" s="11">
        <v>70</v>
      </c>
      <c r="N91" s="11"/>
      <c r="O91" s="11" t="s">
        <v>290</v>
      </c>
      <c r="P91" s="11" t="s">
        <v>290</v>
      </c>
      <c r="Q91" s="11"/>
      <c r="R91" s="11"/>
      <c r="S91" s="11">
        <v>0</v>
      </c>
      <c r="T91" s="11" t="s">
        <v>1044</v>
      </c>
    </row>
    <row r="92" spans="1:20" ht="15" customHeight="1" x14ac:dyDescent="0.2">
      <c r="A92" s="11" t="s">
        <v>1256</v>
      </c>
      <c r="B92" s="11" t="s">
        <v>809</v>
      </c>
      <c r="C92" s="11" t="s">
        <v>810</v>
      </c>
      <c r="D92" s="11" t="s">
        <v>133</v>
      </c>
      <c r="E92" s="11" t="s">
        <v>1257</v>
      </c>
      <c r="F92" s="11" t="s">
        <v>1037</v>
      </c>
      <c r="G92" s="11" t="s">
        <v>1055</v>
      </c>
      <c r="H92" s="11" t="s">
        <v>290</v>
      </c>
      <c r="I92" s="11"/>
      <c r="J92" s="11"/>
      <c r="K92" s="11" t="s">
        <v>1249</v>
      </c>
      <c r="L92" s="11" t="s">
        <v>1249</v>
      </c>
      <c r="M92" s="11">
        <v>30</v>
      </c>
      <c r="N92" s="11"/>
      <c r="O92" s="11" t="s">
        <v>290</v>
      </c>
      <c r="P92" s="11" t="s">
        <v>290</v>
      </c>
      <c r="Q92" s="11"/>
      <c r="R92" s="11"/>
      <c r="S92" s="11">
        <v>0</v>
      </c>
      <c r="T92" s="11" t="s">
        <v>1044</v>
      </c>
    </row>
    <row r="93" spans="1:20" ht="15" customHeight="1" x14ac:dyDescent="0.2">
      <c r="A93" s="11" t="s">
        <v>1258</v>
      </c>
      <c r="B93" s="11" t="s">
        <v>809</v>
      </c>
      <c r="C93" s="11" t="s">
        <v>810</v>
      </c>
      <c r="D93" s="11" t="s">
        <v>133</v>
      </c>
      <c r="E93" s="11" t="s">
        <v>1076</v>
      </c>
      <c r="F93" s="11" t="s">
        <v>1037</v>
      </c>
      <c r="G93" s="11" t="s">
        <v>1055</v>
      </c>
      <c r="H93" s="11" t="s">
        <v>290</v>
      </c>
      <c r="I93" s="11"/>
      <c r="J93" s="11"/>
      <c r="K93" s="11"/>
      <c r="L93" s="11"/>
      <c r="M93" s="11">
        <v>25</v>
      </c>
      <c r="N93" s="11"/>
      <c r="O93" s="11" t="s">
        <v>290</v>
      </c>
      <c r="P93" s="11" t="s">
        <v>290</v>
      </c>
      <c r="Q93" s="11"/>
      <c r="R93" s="11"/>
      <c r="S93" s="11">
        <v>0</v>
      </c>
      <c r="T93" s="11" t="s">
        <v>1039</v>
      </c>
    </row>
    <row r="94" spans="1:20" ht="15" customHeight="1" x14ac:dyDescent="0.2">
      <c r="A94" s="11" t="s">
        <v>1259</v>
      </c>
      <c r="B94" s="11" t="s">
        <v>809</v>
      </c>
      <c r="C94" s="11" t="s">
        <v>810</v>
      </c>
      <c r="D94" s="11" t="s">
        <v>133</v>
      </c>
      <c r="E94" s="11" t="s">
        <v>1260</v>
      </c>
      <c r="F94" s="11" t="s">
        <v>1037</v>
      </c>
      <c r="G94" s="11" t="s">
        <v>1047</v>
      </c>
      <c r="H94" s="11" t="s">
        <v>290</v>
      </c>
      <c r="I94" s="11"/>
      <c r="J94" s="11">
        <v>120</v>
      </c>
      <c r="K94" s="11" t="s">
        <v>1249</v>
      </c>
      <c r="L94" s="11" t="s">
        <v>1249</v>
      </c>
      <c r="M94" s="11">
        <v>60</v>
      </c>
      <c r="N94" s="11"/>
      <c r="O94" s="11" t="s">
        <v>290</v>
      </c>
      <c r="P94" s="11" t="s">
        <v>290</v>
      </c>
      <c r="Q94" s="11"/>
      <c r="R94" s="11"/>
      <c r="S94" s="11">
        <v>0</v>
      </c>
      <c r="T94" s="11" t="s">
        <v>1044</v>
      </c>
    </row>
    <row r="95" spans="1:20" ht="15" customHeight="1" x14ac:dyDescent="0.2">
      <c r="A95" s="11" t="s">
        <v>1261</v>
      </c>
      <c r="B95" s="11" t="s">
        <v>811</v>
      </c>
      <c r="C95" s="11" t="s">
        <v>812</v>
      </c>
      <c r="D95" s="11" t="s">
        <v>133</v>
      </c>
      <c r="E95" s="11" t="s">
        <v>1262</v>
      </c>
      <c r="F95" s="11" t="s">
        <v>1037</v>
      </c>
      <c r="G95" s="11" t="s">
        <v>1047</v>
      </c>
      <c r="H95" s="11" t="s">
        <v>290</v>
      </c>
      <c r="I95" s="11"/>
      <c r="J95" s="11">
        <v>120</v>
      </c>
      <c r="K95" s="11" t="s">
        <v>1249</v>
      </c>
      <c r="L95" s="11" t="s">
        <v>1249</v>
      </c>
      <c r="M95" s="11">
        <v>60</v>
      </c>
      <c r="N95" s="11"/>
      <c r="O95" s="11" t="s">
        <v>290</v>
      </c>
      <c r="P95" s="11" t="s">
        <v>290</v>
      </c>
      <c r="Q95" s="11"/>
      <c r="R95" s="11"/>
      <c r="S95" s="11">
        <v>0</v>
      </c>
      <c r="T95" s="11" t="s">
        <v>1044</v>
      </c>
    </row>
    <row r="96" spans="1:20" ht="15" customHeight="1" x14ac:dyDescent="0.2">
      <c r="A96" s="11" t="s">
        <v>1263</v>
      </c>
      <c r="B96" s="11" t="s">
        <v>811</v>
      </c>
      <c r="C96" s="11" t="s">
        <v>812</v>
      </c>
      <c r="D96" s="11" t="s">
        <v>133</v>
      </c>
      <c r="E96" s="11" t="s">
        <v>1264</v>
      </c>
      <c r="F96" s="11" t="s">
        <v>1037</v>
      </c>
      <c r="G96" s="11" t="s">
        <v>1055</v>
      </c>
      <c r="H96" s="11" t="s">
        <v>290</v>
      </c>
      <c r="I96" s="11"/>
      <c r="J96" s="11"/>
      <c r="K96" s="11"/>
      <c r="L96" s="11"/>
      <c r="M96" s="11">
        <v>25</v>
      </c>
      <c r="N96" s="11"/>
      <c r="O96" s="11" t="s">
        <v>290</v>
      </c>
      <c r="P96" s="11" t="s">
        <v>290</v>
      </c>
      <c r="Q96" s="11"/>
      <c r="R96" s="11"/>
      <c r="S96" s="11">
        <v>0</v>
      </c>
      <c r="T96" s="11" t="s">
        <v>1039</v>
      </c>
    </row>
    <row r="97" spans="1:20" ht="15" customHeight="1" x14ac:dyDescent="0.2">
      <c r="A97" s="11" t="s">
        <v>1265</v>
      </c>
      <c r="B97" s="11" t="s">
        <v>811</v>
      </c>
      <c r="C97" s="11" t="s">
        <v>812</v>
      </c>
      <c r="D97" s="11" t="s">
        <v>133</v>
      </c>
      <c r="E97" s="11" t="s">
        <v>1266</v>
      </c>
      <c r="F97" s="11" t="s">
        <v>1037</v>
      </c>
      <c r="G97" s="11" t="s">
        <v>1066</v>
      </c>
      <c r="H97" s="11" t="s">
        <v>290</v>
      </c>
      <c r="I97" s="11"/>
      <c r="J97" s="11">
        <v>107</v>
      </c>
      <c r="K97" s="11"/>
      <c r="L97" s="11"/>
      <c r="M97" s="11">
        <v>80</v>
      </c>
      <c r="N97" s="11"/>
      <c r="O97" s="11" t="s">
        <v>290</v>
      </c>
      <c r="P97" s="11" t="s">
        <v>290</v>
      </c>
      <c r="Q97" s="11"/>
      <c r="R97" s="11"/>
      <c r="S97" s="11">
        <v>0</v>
      </c>
      <c r="T97" s="11" t="s">
        <v>1039</v>
      </c>
    </row>
    <row r="98" spans="1:20" ht="15" customHeight="1" x14ac:dyDescent="0.2">
      <c r="A98" s="11" t="s">
        <v>1267</v>
      </c>
      <c r="B98" s="11" t="s">
        <v>811</v>
      </c>
      <c r="C98" s="11" t="s">
        <v>812</v>
      </c>
      <c r="D98" s="11" t="s">
        <v>133</v>
      </c>
      <c r="E98" s="11" t="s">
        <v>1268</v>
      </c>
      <c r="F98" s="11" t="s">
        <v>1037</v>
      </c>
      <c r="G98" s="11" t="s">
        <v>1055</v>
      </c>
      <c r="H98" s="11" t="s">
        <v>290</v>
      </c>
      <c r="I98" s="11"/>
      <c r="J98" s="11"/>
      <c r="K98" s="11" t="s">
        <v>1249</v>
      </c>
      <c r="L98" s="11" t="s">
        <v>1249</v>
      </c>
      <c r="M98" s="11">
        <v>45</v>
      </c>
      <c r="N98" s="11"/>
      <c r="O98" s="11" t="s">
        <v>290</v>
      </c>
      <c r="P98" s="11" t="s">
        <v>290</v>
      </c>
      <c r="Q98" s="11"/>
      <c r="R98" s="11"/>
      <c r="S98" s="11">
        <v>0</v>
      </c>
      <c r="T98" s="11" t="s">
        <v>1044</v>
      </c>
    </row>
    <row r="99" spans="1:20" ht="15" customHeight="1" x14ac:dyDescent="0.2">
      <c r="A99" s="11" t="s">
        <v>1269</v>
      </c>
      <c r="B99" s="11" t="s">
        <v>811</v>
      </c>
      <c r="C99" s="11" t="s">
        <v>812</v>
      </c>
      <c r="D99" s="11" t="s">
        <v>133</v>
      </c>
      <c r="E99" s="11" t="s">
        <v>1270</v>
      </c>
      <c r="F99" s="11" t="s">
        <v>1037</v>
      </c>
      <c r="G99" s="11" t="s">
        <v>1055</v>
      </c>
      <c r="H99" s="11" t="s">
        <v>290</v>
      </c>
      <c r="I99" s="11"/>
      <c r="J99" s="11"/>
      <c r="K99" s="11" t="s">
        <v>1249</v>
      </c>
      <c r="L99" s="11" t="s">
        <v>1249</v>
      </c>
      <c r="M99" s="11">
        <v>50</v>
      </c>
      <c r="N99" s="11"/>
      <c r="O99" s="11" t="s">
        <v>290</v>
      </c>
      <c r="P99" s="11" t="s">
        <v>290</v>
      </c>
      <c r="Q99" s="11"/>
      <c r="R99" s="11"/>
      <c r="S99" s="11">
        <v>0</v>
      </c>
      <c r="T99" s="11" t="s">
        <v>1044</v>
      </c>
    </row>
    <row r="100" spans="1:20" ht="15" customHeight="1" x14ac:dyDescent="0.2">
      <c r="A100" s="11" t="s">
        <v>1271</v>
      </c>
      <c r="B100" s="11" t="s">
        <v>811</v>
      </c>
      <c r="C100" s="11" t="s">
        <v>812</v>
      </c>
      <c r="D100" s="11" t="s">
        <v>133</v>
      </c>
      <c r="E100" s="11" t="s">
        <v>1172</v>
      </c>
      <c r="F100" s="11" t="s">
        <v>1037</v>
      </c>
      <c r="G100" s="11" t="s">
        <v>1047</v>
      </c>
      <c r="H100" s="11" t="s">
        <v>290</v>
      </c>
      <c r="I100" s="11"/>
      <c r="J100" s="11">
        <v>102</v>
      </c>
      <c r="K100" s="11" t="s">
        <v>1249</v>
      </c>
      <c r="L100" s="11" t="s">
        <v>1249</v>
      </c>
      <c r="M100" s="11">
        <v>55</v>
      </c>
      <c r="N100" s="11"/>
      <c r="O100" s="11" t="s">
        <v>290</v>
      </c>
      <c r="P100" s="11" t="s">
        <v>290</v>
      </c>
      <c r="Q100" s="11"/>
      <c r="R100" s="11"/>
      <c r="S100" s="11">
        <v>0</v>
      </c>
      <c r="T100" s="11" t="s">
        <v>1044</v>
      </c>
    </row>
    <row r="101" spans="1:20" ht="15" customHeight="1" x14ac:dyDescent="0.2">
      <c r="A101" s="11" t="s">
        <v>1272</v>
      </c>
      <c r="B101" s="11" t="s">
        <v>811</v>
      </c>
      <c r="C101" s="11" t="s">
        <v>812</v>
      </c>
      <c r="D101" s="11" t="s">
        <v>133</v>
      </c>
      <c r="E101" s="11" t="s">
        <v>1273</v>
      </c>
      <c r="F101" s="11" t="s">
        <v>1037</v>
      </c>
      <c r="G101" s="11" t="s">
        <v>1038</v>
      </c>
      <c r="H101" s="11" t="s">
        <v>290</v>
      </c>
      <c r="I101" s="11"/>
      <c r="J101" s="11">
        <v>81</v>
      </c>
      <c r="K101" s="11"/>
      <c r="L101" s="11"/>
      <c r="M101" s="11">
        <v>25</v>
      </c>
      <c r="N101" s="11"/>
      <c r="O101" s="11" t="s">
        <v>290</v>
      </c>
      <c r="P101" s="11" t="s">
        <v>290</v>
      </c>
      <c r="Q101" s="11"/>
      <c r="R101" s="11"/>
      <c r="S101" s="11">
        <v>0</v>
      </c>
      <c r="T101" s="11" t="s">
        <v>1039</v>
      </c>
    </row>
  </sheetData>
  <autoFilter ref="A1:T101" xr:uid="{00000000-0009-0000-0000-000003000000}"/>
  <conditionalFormatting sqref="T2:T101">
    <cfRule type="expression" dxfId="0" priority="2">
      <formula>LEN($T2)&gt;0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2" width="38" customWidth="1"/>
  </cols>
  <sheetData>
    <row r="1" spans="1:2" ht="21.75" customHeight="1" x14ac:dyDescent="0.2">
      <c r="A1" s="10" t="s">
        <v>1274</v>
      </c>
      <c r="B1" s="10" t="s">
        <v>1275</v>
      </c>
    </row>
    <row r="2" spans="1:2" ht="15" customHeight="1" x14ac:dyDescent="0.2">
      <c r="A2" s="11" t="s">
        <v>233</v>
      </c>
      <c r="B2" s="11" t="s">
        <v>1276</v>
      </c>
    </row>
    <row r="3" spans="1:2" ht="15" customHeight="1" x14ac:dyDescent="0.2">
      <c r="A3" s="11" t="s">
        <v>257</v>
      </c>
      <c r="B3" s="11" t="s">
        <v>1276</v>
      </c>
    </row>
    <row r="4" spans="1:2" ht="15" customHeight="1" x14ac:dyDescent="0.2">
      <c r="A4" s="11" t="s">
        <v>165</v>
      </c>
      <c r="B4" s="11" t="s">
        <v>1276</v>
      </c>
    </row>
    <row r="5" spans="1:2" ht="15" customHeight="1" x14ac:dyDescent="0.2">
      <c r="A5" s="11" t="s">
        <v>260</v>
      </c>
      <c r="B5" s="11" t="s">
        <v>1276</v>
      </c>
    </row>
    <row r="6" spans="1:2" ht="15" customHeight="1" x14ac:dyDescent="0.2">
      <c r="A6" s="11" t="s">
        <v>111</v>
      </c>
      <c r="B6" s="11" t="s">
        <v>1042</v>
      </c>
    </row>
    <row r="7" spans="1:2" ht="15" customHeight="1" x14ac:dyDescent="0.2">
      <c r="A7" s="11" t="s">
        <v>111</v>
      </c>
      <c r="B7" s="11" t="s">
        <v>1144</v>
      </c>
    </row>
    <row r="8" spans="1:2" ht="15" customHeight="1" x14ac:dyDescent="0.2">
      <c r="A8" s="11" t="s">
        <v>242</v>
      </c>
      <c r="B8" s="11" t="s">
        <v>1276</v>
      </c>
    </row>
    <row r="9" spans="1:2" ht="15" customHeight="1" x14ac:dyDescent="0.2">
      <c r="A9" s="11" t="s">
        <v>253</v>
      </c>
      <c r="B9" s="11" t="s">
        <v>1276</v>
      </c>
    </row>
    <row r="10" spans="1:2" ht="15" customHeight="1" x14ac:dyDescent="0.2">
      <c r="A10" s="11" t="s">
        <v>248</v>
      </c>
      <c r="B10" s="11" t="s">
        <v>1276</v>
      </c>
    </row>
    <row r="11" spans="1:2" ht="15" customHeight="1" x14ac:dyDescent="0.2">
      <c r="A11" s="11" t="s">
        <v>221</v>
      </c>
      <c r="B11" s="11" t="s">
        <v>1276</v>
      </c>
    </row>
    <row r="12" spans="1:2" ht="15" customHeight="1" x14ac:dyDescent="0.2">
      <c r="A12" s="11" t="s">
        <v>268</v>
      </c>
      <c r="B12" s="11" t="s">
        <v>1276</v>
      </c>
    </row>
    <row r="13" spans="1:2" ht="15" customHeight="1" x14ac:dyDescent="0.2">
      <c r="A13" s="11" t="s">
        <v>157</v>
      </c>
      <c r="B13" s="11" t="s">
        <v>1276</v>
      </c>
    </row>
    <row r="14" spans="1:2" ht="15" customHeight="1" x14ac:dyDescent="0.2">
      <c r="A14" s="11" t="s">
        <v>229</v>
      </c>
      <c r="B14" s="11" t="s">
        <v>1276</v>
      </c>
    </row>
    <row r="15" spans="1:2" ht="15" customHeight="1" x14ac:dyDescent="0.2">
      <c r="A15" s="11" t="s">
        <v>173</v>
      </c>
      <c r="B15" s="11" t="s">
        <v>1276</v>
      </c>
    </row>
    <row r="16" spans="1:2" ht="15" customHeight="1" x14ac:dyDescent="0.2">
      <c r="A16" s="11" t="s">
        <v>130</v>
      </c>
      <c r="B16" s="11" t="s">
        <v>1042</v>
      </c>
    </row>
    <row r="17" spans="1:2" ht="15" customHeight="1" x14ac:dyDescent="0.2">
      <c r="A17" s="11" t="s">
        <v>130</v>
      </c>
      <c r="B17" s="11" t="s">
        <v>1144</v>
      </c>
    </row>
    <row r="18" spans="1:2" ht="15" customHeight="1" x14ac:dyDescent="0.2">
      <c r="A18" s="11" t="s">
        <v>144</v>
      </c>
      <c r="B18" s="11" t="s">
        <v>1276</v>
      </c>
    </row>
    <row r="19" spans="1:2" ht="15" customHeight="1" x14ac:dyDescent="0.2">
      <c r="A19" s="11" t="s">
        <v>212</v>
      </c>
      <c r="B19" s="11" t="s">
        <v>1276</v>
      </c>
    </row>
    <row r="20" spans="1:2" ht="15" customHeight="1" x14ac:dyDescent="0.2">
      <c r="A20" s="11" t="s">
        <v>250</v>
      </c>
      <c r="B20" s="11" t="s">
        <v>1276</v>
      </c>
    </row>
    <row r="21" spans="1:2" ht="15" customHeight="1" x14ac:dyDescent="0.2">
      <c r="A21" s="11" t="s">
        <v>192</v>
      </c>
      <c r="B21" s="11" t="s">
        <v>1277</v>
      </c>
    </row>
    <row r="22" spans="1:2" ht="15" customHeight="1" x14ac:dyDescent="0.2">
      <c r="A22" s="11" t="s">
        <v>161</v>
      </c>
      <c r="B22" s="11" t="s">
        <v>1276</v>
      </c>
    </row>
    <row r="23" spans="1:2" ht="15" customHeight="1" x14ac:dyDescent="0.2">
      <c r="A23" s="11" t="s">
        <v>245</v>
      </c>
      <c r="B23" s="11" t="s">
        <v>1276</v>
      </c>
    </row>
    <row r="24" spans="1:2" ht="15" customHeight="1" x14ac:dyDescent="0.2">
      <c r="A24" s="11" t="s">
        <v>115</v>
      </c>
      <c r="B24" s="11" t="s">
        <v>1276</v>
      </c>
    </row>
    <row r="25" spans="1:2" ht="15" customHeight="1" x14ac:dyDescent="0.2">
      <c r="A25" s="11" t="s">
        <v>236</v>
      </c>
      <c r="B25" s="11" t="s">
        <v>1276</v>
      </c>
    </row>
    <row r="26" spans="1:2" ht="15" customHeight="1" x14ac:dyDescent="0.2">
      <c r="A26" s="11" t="s">
        <v>227</v>
      </c>
      <c r="B26" s="11" t="s">
        <v>1276</v>
      </c>
    </row>
    <row r="27" spans="1:2" ht="15" customHeight="1" x14ac:dyDescent="0.2">
      <c r="A27" s="11" t="s">
        <v>240</v>
      </c>
      <c r="B27" s="11" t="s">
        <v>1276</v>
      </c>
    </row>
    <row r="28" spans="1:2" ht="15" customHeight="1" x14ac:dyDescent="0.2">
      <c r="A28" s="11" t="s">
        <v>123</v>
      </c>
      <c r="B28" s="11" t="s">
        <v>1276</v>
      </c>
    </row>
    <row r="29" spans="1:2" ht="15" customHeight="1" x14ac:dyDescent="0.2">
      <c r="A29" s="11" t="s">
        <v>127</v>
      </c>
      <c r="B29" s="11" t="s">
        <v>1276</v>
      </c>
    </row>
    <row r="30" spans="1:2" ht="15" customHeight="1" x14ac:dyDescent="0.2">
      <c r="A30" s="11" t="s">
        <v>153</v>
      </c>
      <c r="B30" s="11" t="s">
        <v>1276</v>
      </c>
    </row>
    <row r="31" spans="1:2" ht="15" customHeight="1" x14ac:dyDescent="0.2">
      <c r="A31" s="11" t="s">
        <v>102</v>
      </c>
      <c r="B31" s="11" t="s">
        <v>1042</v>
      </c>
    </row>
    <row r="32" spans="1:2" ht="15" customHeight="1" x14ac:dyDescent="0.2">
      <c r="A32" s="11" t="s">
        <v>102</v>
      </c>
      <c r="B32" s="11" t="s">
        <v>1144</v>
      </c>
    </row>
    <row r="33" spans="1:2" ht="15" customHeight="1" x14ac:dyDescent="0.2">
      <c r="A33" s="11" t="s">
        <v>184</v>
      </c>
      <c r="B33" s="11" t="s">
        <v>1278</v>
      </c>
    </row>
    <row r="34" spans="1:2" ht="15" customHeight="1" x14ac:dyDescent="0.2">
      <c r="A34" s="11" t="s">
        <v>133</v>
      </c>
      <c r="B34" s="11" t="s">
        <v>1279</v>
      </c>
    </row>
    <row r="35" spans="1:2" ht="15" customHeight="1" x14ac:dyDescent="0.2">
      <c r="A35" s="11" t="s">
        <v>200</v>
      </c>
      <c r="B35" s="11" t="s">
        <v>1276</v>
      </c>
    </row>
    <row r="36" spans="1:2" ht="15" customHeight="1" x14ac:dyDescent="0.2">
      <c r="A36" s="11" t="s">
        <v>187</v>
      </c>
      <c r="B36" s="11" t="s">
        <v>1280</v>
      </c>
    </row>
    <row r="37" spans="1:2" ht="15" customHeight="1" x14ac:dyDescent="0.2">
      <c r="A37" s="11" t="s">
        <v>196</v>
      </c>
      <c r="B37" s="11" t="s">
        <v>1281</v>
      </c>
    </row>
    <row r="38" spans="1:2" ht="15" customHeight="1" x14ac:dyDescent="0.2">
      <c r="A38" s="11" t="s">
        <v>148</v>
      </c>
      <c r="B38" s="11" t="s">
        <v>1276</v>
      </c>
    </row>
    <row r="39" spans="1:2" ht="15" customHeight="1" x14ac:dyDescent="0.2">
      <c r="A39" s="11" t="s">
        <v>262</v>
      </c>
      <c r="B39" s="11" t="s">
        <v>1276</v>
      </c>
    </row>
    <row r="40" spans="1:2" ht="15" customHeight="1" x14ac:dyDescent="0.2">
      <c r="A40" s="11" t="s">
        <v>169</v>
      </c>
      <c r="B40" s="11" t="s">
        <v>1276</v>
      </c>
    </row>
    <row r="41" spans="1:2" ht="15" customHeight="1" x14ac:dyDescent="0.2">
      <c r="A41" s="11" t="s">
        <v>219</v>
      </c>
      <c r="B41" s="11" t="s">
        <v>1276</v>
      </c>
    </row>
    <row r="42" spans="1:2" ht="15" customHeight="1" x14ac:dyDescent="0.2">
      <c r="A42" s="11" t="s">
        <v>177</v>
      </c>
      <c r="B42" s="11" t="s">
        <v>1282</v>
      </c>
    </row>
    <row r="43" spans="1:2" ht="15" customHeight="1" x14ac:dyDescent="0.2">
      <c r="A43" s="11" t="s">
        <v>118</v>
      </c>
      <c r="B43" s="11" t="s">
        <v>1276</v>
      </c>
    </row>
    <row r="44" spans="1:2" ht="15" customHeight="1" x14ac:dyDescent="0.2">
      <c r="A44" s="11" t="s">
        <v>205</v>
      </c>
      <c r="B44" s="11" t="s">
        <v>1276</v>
      </c>
    </row>
    <row r="45" spans="1:2" ht="15" customHeight="1" x14ac:dyDescent="0.2">
      <c r="A45" s="11" t="s">
        <v>139</v>
      </c>
      <c r="B45" s="11" t="s">
        <v>1276</v>
      </c>
    </row>
    <row r="46" spans="1:2" ht="15" customHeight="1" x14ac:dyDescent="0.2">
      <c r="A46" s="11" t="s">
        <v>265</v>
      </c>
      <c r="B46" s="11" t="s">
        <v>1276</v>
      </c>
    </row>
    <row r="47" spans="1:2" ht="15" customHeight="1" x14ac:dyDescent="0.2">
      <c r="A47" s="11" t="s">
        <v>238</v>
      </c>
      <c r="B47" s="11" t="s">
        <v>1276</v>
      </c>
    </row>
  </sheetData>
  <autoFilter ref="A1:B4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2" width="14" customWidth="1"/>
    <col min="3" max="3" width="16" customWidth="1"/>
  </cols>
  <sheetData>
    <row r="1" spans="1:3" ht="21.75" customHeight="1" x14ac:dyDescent="0.25">
      <c r="A1" s="2" t="s">
        <v>1283</v>
      </c>
      <c r="B1" s="2"/>
      <c r="C1" s="2"/>
    </row>
    <row r="2" spans="1:3" ht="15" customHeight="1" x14ac:dyDescent="0.2">
      <c r="A2" s="1" t="s">
        <v>1284</v>
      </c>
      <c r="B2" s="1"/>
      <c r="C2" s="1"/>
    </row>
    <row r="4" spans="1:3" ht="15" customHeight="1" x14ac:dyDescent="0.2">
      <c r="A4" s="3" t="s">
        <v>1285</v>
      </c>
    </row>
    <row r="5" spans="1:3" ht="15" customHeight="1" x14ac:dyDescent="0.2">
      <c r="A5" s="8" t="s">
        <v>25</v>
      </c>
      <c r="B5" s="8" t="s">
        <v>9</v>
      </c>
      <c r="C5" s="8" t="s">
        <v>1286</v>
      </c>
    </row>
    <row r="6" spans="1:3" ht="15" customHeight="1" x14ac:dyDescent="0.2">
      <c r="A6" s="4" t="s">
        <v>29</v>
      </c>
      <c r="B6" s="7">
        <f>COUNTIF(Regions!U2:U1000,"*description_too_short*")</f>
        <v>0</v>
      </c>
      <c r="C6" s="15">
        <f>IFERROR(B6/COUNTA(Regions!A2:A1000),0)</f>
        <v>0</v>
      </c>
    </row>
    <row r="7" spans="1:3" ht="15" customHeight="1" x14ac:dyDescent="0.2">
      <c r="A7" s="4" t="s">
        <v>32</v>
      </c>
      <c r="B7" s="7">
        <f>COUNTIF(Regions!U2:U1000,"*no_skip_line_systems*")</f>
        <v>0</v>
      </c>
      <c r="C7" s="15">
        <f>IFERROR(B7/COUNTA(Regions!A2:A1000),0)</f>
        <v>0</v>
      </c>
    </row>
    <row r="8" spans="1:3" ht="15" customHeight="1" x14ac:dyDescent="0.2">
      <c r="A8" s="4" t="s">
        <v>35</v>
      </c>
      <c r="B8" s="7">
        <f>COUNTIF(Regions!U2:U1000,"*tier_overstated_no_attractions*")</f>
        <v>4</v>
      </c>
      <c r="C8" s="15">
        <f>IFERROR(B8/COUNTA(Regions!A2:A1000),0)</f>
        <v>9.3023255813953487E-2</v>
      </c>
    </row>
    <row r="9" spans="1:3" ht="15" customHeight="1" x14ac:dyDescent="0.2">
      <c r="A9" s="4" t="s">
        <v>38</v>
      </c>
      <c r="B9" s="7">
        <f>COUNTIF(Regions!U2:U1000,"*no_parks_with_hours*")</f>
        <v>43</v>
      </c>
      <c r="C9" s="15">
        <f>IFERROR(B9/COUNTA(Regions!A2:A1000),0)</f>
        <v>1</v>
      </c>
    </row>
    <row r="10" spans="1:3" ht="15" customHeight="1" x14ac:dyDescent="0.2">
      <c r="A10" s="4" t="s">
        <v>41</v>
      </c>
      <c r="B10" s="7">
        <f>COUNTIF(Regions!U2:U1000,"*no_parks_with_coords*")</f>
        <v>43</v>
      </c>
      <c r="C10" s="15">
        <f>IFERROR(B10/COUNTA(Regions!A2:A1000),0)</f>
        <v>1</v>
      </c>
    </row>
    <row r="11" spans="1:3" ht="15" customHeight="1" x14ac:dyDescent="0.2">
      <c r="A11" s="4" t="s">
        <v>44</v>
      </c>
      <c r="B11" s="7">
        <f>COUNTIF(Regions!U2:U1000,"*no_parks_with_url*")</f>
        <v>43</v>
      </c>
      <c r="C11" s="15">
        <f>IFERROR(B11/COUNTA(Regions!A2:A1000),0)</f>
        <v>1</v>
      </c>
    </row>
    <row r="14" spans="1:3" ht="15" customHeight="1" x14ac:dyDescent="0.2">
      <c r="A14" s="3" t="s">
        <v>1287</v>
      </c>
    </row>
    <row r="15" spans="1:3" ht="15" customHeight="1" x14ac:dyDescent="0.2">
      <c r="A15" s="8" t="s">
        <v>25</v>
      </c>
      <c r="B15" s="8" t="s">
        <v>9</v>
      </c>
      <c r="C15" s="8" t="s">
        <v>1288</v>
      </c>
    </row>
    <row r="16" spans="1:3" ht="15" customHeight="1" x14ac:dyDescent="0.2">
      <c r="A16" s="4" t="s">
        <v>48</v>
      </c>
      <c r="B16" s="7">
        <f>COUNTIF(Parks!Q2:Q1000,"*no_icon*")</f>
        <v>343</v>
      </c>
      <c r="C16" s="15">
        <f>IFERROR(B16/COUNTA(Parks!A2:A1000),0)</f>
        <v>0.97720797720797725</v>
      </c>
    </row>
    <row r="17" spans="1:3" ht="15" customHeight="1" x14ac:dyDescent="0.2">
      <c r="A17" s="4" t="s">
        <v>51</v>
      </c>
      <c r="B17" s="7">
        <f>COUNTIF(Parks!Q2:Q1000,"*no_country*")</f>
        <v>351</v>
      </c>
      <c r="C17" s="15">
        <f>IFERROR(B17/COUNTA(Parks!A2:A1000),0)</f>
        <v>1</v>
      </c>
    </row>
    <row r="18" spans="1:3" ht="15" customHeight="1" x14ac:dyDescent="0.2">
      <c r="A18" s="4" t="s">
        <v>54</v>
      </c>
      <c r="B18" s="7">
        <f>COUNTIF(Parks!Q2:Q1000,"*no_coords*")</f>
        <v>351</v>
      </c>
      <c r="C18" s="15">
        <f>IFERROR(B18/COUNTA(Parks!A2:A1000),0)</f>
        <v>1</v>
      </c>
    </row>
    <row r="19" spans="1:3" ht="15" customHeight="1" x14ac:dyDescent="0.2">
      <c r="A19" s="4" t="s">
        <v>57</v>
      </c>
      <c r="B19" s="7">
        <f>COUNTIF(Parks!Q2:Q1000,"*no_official_url*")</f>
        <v>351</v>
      </c>
      <c r="C19" s="15">
        <f>IFERROR(B19/COUNTA(Parks!A2:A1000),0)</f>
        <v>1</v>
      </c>
    </row>
    <row r="20" spans="1:3" ht="15" customHeight="1" x14ac:dyDescent="0.2">
      <c r="A20" s="4" t="s">
        <v>60</v>
      </c>
      <c r="B20" s="7">
        <f>COUNTIF(Parks!Q2:Q1000,"*no_hours*")</f>
        <v>351</v>
      </c>
      <c r="C20" s="15">
        <f>IFERROR(B20/COUNTA(Parks!A2:A1000),0)</f>
        <v>1</v>
      </c>
    </row>
    <row r="21" spans="1:3" ht="15" customHeight="1" x14ac:dyDescent="0.2">
      <c r="A21" s="4" t="s">
        <v>63</v>
      </c>
      <c r="B21" s="7">
        <f>COUNTIF(Parks!Q2:Q1000,"*theme_park_no_attractions*")</f>
        <v>23</v>
      </c>
      <c r="C21" s="15">
        <f>IFERROR(B21/COUNTA(Parks!A2:A1000),0)</f>
        <v>6.5527065527065526E-2</v>
      </c>
    </row>
    <row r="24" spans="1:3" ht="15" customHeight="1" x14ac:dyDescent="0.2">
      <c r="A24" s="3" t="s">
        <v>1289</v>
      </c>
    </row>
    <row r="25" spans="1:3" ht="15" customHeight="1" x14ac:dyDescent="0.2">
      <c r="A25" s="8" t="s">
        <v>25</v>
      </c>
      <c r="B25" s="8" t="s">
        <v>9</v>
      </c>
      <c r="C25" s="8" t="s">
        <v>1290</v>
      </c>
    </row>
    <row r="26" spans="1:3" ht="15" customHeight="1" x14ac:dyDescent="0.2">
      <c r="A26" s="4" t="s">
        <v>67</v>
      </c>
      <c r="B26" s="7">
        <f>COUNTIF(Attractions!T2:T1000,"*no_duration*")</f>
        <v>40</v>
      </c>
      <c r="C26" s="15">
        <f>IFERROR(B26/COUNTA(Attractions!A2:A1000),0)</f>
        <v>0.4</v>
      </c>
    </row>
    <row r="27" spans="1:3" ht="15" customHeight="1" x14ac:dyDescent="0.2">
      <c r="A27" s="4" t="s">
        <v>70</v>
      </c>
      <c r="B27" s="7">
        <f>COUNTIF(Attractions!T2:T1000,"*no_peak_wait*")</f>
        <v>0</v>
      </c>
      <c r="C27" s="15">
        <f>IFERROR(B27/COUNTA(Attractions!A2:A1000),0)</f>
        <v>0</v>
      </c>
    </row>
    <row r="28" spans="1:3" ht="15" customHeight="1" x14ac:dyDescent="0.2">
      <c r="A28" s="4" t="s">
        <v>73</v>
      </c>
      <c r="B28" s="7">
        <f>COUNTIF(Attractions!T2:T1000,"*no_offpeak_wait*")</f>
        <v>40</v>
      </c>
      <c r="C28" s="15">
        <f>IFERROR(B28/COUNTA(Attractions!A2:A1000),0)</f>
        <v>0.4</v>
      </c>
    </row>
    <row r="29" spans="1:3" ht="15" customHeight="1" x14ac:dyDescent="0.2">
      <c r="A29" s="4" t="s">
        <v>75</v>
      </c>
      <c r="B29" s="7">
        <f>COUNTIF(Attractions!T2:T1000,"*no_skip_line_system*")</f>
        <v>14</v>
      </c>
      <c r="C29" s="15">
        <f>IFERROR(B29/COUNTA(Attractions!A2:A1000),0)</f>
        <v>0.14000000000000001</v>
      </c>
    </row>
    <row r="30" spans="1:3" ht="15" customHeight="1" x14ac:dyDescent="0.2">
      <c r="A30" s="4" t="s">
        <v>78</v>
      </c>
      <c r="B30" s="7">
        <f>COUNTIF(Attractions!T2:T1000,"*no_tags*")</f>
        <v>40</v>
      </c>
      <c r="C30" s="15">
        <f>IFERROR(B30/COUNTA(Attractions!A2:A1000),0)</f>
        <v>0.4</v>
      </c>
    </row>
    <row r="31" spans="1:3" ht="15" customHeight="1" x14ac:dyDescent="0.2">
      <c r="A31" s="4" t="s">
        <v>57</v>
      </c>
      <c r="B31" s="7">
        <f>COUNTIF(Attractions!T2:T1000,"*no_official_url*")</f>
        <v>100</v>
      </c>
      <c r="C31" s="15">
        <f>IFERROR(B31/COUNTA(Attractions!A2:A1000),0)</f>
        <v>1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Regions</vt:lpstr>
      <vt:lpstr>Parks</vt:lpstr>
      <vt:lpstr>Attractions</vt:lpstr>
      <vt:lpstr>Skip-Line Map</vt:lpstr>
      <vt:lpstr>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 Robertson</cp:lastModifiedBy>
  <cp:revision>0</cp:revision>
  <dcterms:created xsi:type="dcterms:W3CDTF">2026-05-10T17:56:22Z</dcterms:created>
  <dcterms:modified xsi:type="dcterms:W3CDTF">2026-05-10T17:58:52Z</dcterms:modified>
  <dc:language>en-US</dc:language>
</cp:coreProperties>
</file>